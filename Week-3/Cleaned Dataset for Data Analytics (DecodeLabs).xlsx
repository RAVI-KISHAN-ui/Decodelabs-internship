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cf7b5b8e671260/Documents/DECODELABS/TASK 1/"/>
    </mc:Choice>
  </mc:AlternateContent>
  <xr:revisionPtr revIDLastSave="341" documentId="11_FC765CD9E1F9EC03F6256F831599DAD550263694" xr6:coauthVersionLast="47" xr6:coauthVersionMax="47" xr10:uidLastSave="{E5734222-5552-461E-B462-269BC55A028F}"/>
  <bookViews>
    <workbookView xWindow="-108" yWindow="-108" windowWidth="23256" windowHeight="12456" activeTab="3" xr2:uid="{00000000-000D-0000-FFFF-FFFF00000000}"/>
  </bookViews>
  <sheets>
    <sheet name="EDA Summary" sheetId="2" r:id="rId1"/>
    <sheet name="Revenue by Product" sheetId="3" r:id="rId2"/>
    <sheet name="Monthly Trends" sheetId="6" r:id="rId3"/>
    <sheet name="Order Status" sheetId="7" r:id="rId4"/>
    <sheet name="Referral Source" sheetId="8" r:id="rId5"/>
    <sheet name="Sheet1" sheetId="1" r:id="rId6"/>
  </sheet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C9" i="8"/>
  <c r="C8" i="8"/>
  <c r="C7" i="8"/>
  <c r="C6" i="8"/>
  <c r="C5" i="8"/>
  <c r="C4" i="8"/>
  <c r="B4" i="8"/>
  <c r="B9" i="8" s="1"/>
  <c r="B8" i="8"/>
  <c r="B7" i="8"/>
  <c r="B6" i="8"/>
  <c r="B5" i="8"/>
  <c r="C5" i="7"/>
  <c r="C6" i="7"/>
  <c r="C7" i="7"/>
  <c r="C8" i="7"/>
  <c r="C4" i="7"/>
  <c r="B8" i="7"/>
  <c r="B7" i="7"/>
  <c r="B6" i="7"/>
  <c r="B5" i="7"/>
  <c r="B4" i="7"/>
  <c r="B19" i="2"/>
  <c r="B18" i="2"/>
  <c r="B17" i="2"/>
  <c r="B16" i="2"/>
  <c r="B15" i="2"/>
  <c r="B14" i="2"/>
  <c r="E10" i="2"/>
  <c r="E9" i="2"/>
  <c r="E8" i="2"/>
  <c r="E7" i="2"/>
  <c r="E6" i="2"/>
  <c r="E5" i="2"/>
  <c r="E4" i="2"/>
  <c r="D10" i="2"/>
  <c r="D9" i="2"/>
  <c r="D8" i="2"/>
  <c r="D7" i="2"/>
  <c r="D6" i="2"/>
  <c r="D5" i="2"/>
  <c r="D4" i="2"/>
  <c r="C10" i="2"/>
  <c r="C9" i="2"/>
  <c r="C8" i="2"/>
  <c r="C7" i="2"/>
  <c r="C6" i="2"/>
  <c r="C5" i="2"/>
  <c r="C4" i="2"/>
  <c r="B10" i="2"/>
  <c r="B9" i="2"/>
  <c r="B8" i="2"/>
  <c r="B7" i="2"/>
  <c r="B6" i="2"/>
  <c r="B5" i="2"/>
  <c r="B4" i="2"/>
  <c r="C9" i="7" l="1"/>
  <c r="B9" i="7"/>
</calcChain>
</file>

<file path=xl/sharedStrings.xml><?xml version="1.0" encoding="utf-8"?>
<sst xmlns="http://schemas.openxmlformats.org/spreadsheetml/2006/main" count="10893" uniqueCount="4332">
  <si>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</si>
  <si>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</si>
  <si>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</si>
  <si>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</si>
  <si>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</si>
  <si>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</si>
  <si>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</si>
  <si>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</si>
  <si>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</si>
  <si>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</si>
  <si>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</si>
  <si>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</si>
  <si>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</si>
  <si>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</si>
  <si>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</si>
  <si>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</si>
  <si>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</si>
  <si>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</si>
  <si>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</si>
  <si>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</si>
  <si>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</si>
  <si>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</si>
  <si>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</si>
  <si>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</si>
  <si>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</si>
  <si>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</si>
  <si>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</si>
  <si>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</si>
  <si>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</si>
  <si>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</si>
  <si>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</si>
  <si>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</si>
  <si>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</si>
  <si>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</si>
  <si>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</si>
  <si>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</si>
  <si>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</si>
  <si>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</si>
  <si>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</si>
  <si>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</si>
  <si>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</si>
  <si>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</si>
  <si>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</si>
  <si>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</si>
  <si>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</si>
  <si>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</si>
  <si>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</si>
  <si>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</si>
  <si>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</si>
  <si>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</si>
  <si>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</si>
  <si>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</si>
  <si>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</si>
  <si>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</si>
  <si>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</si>
  <si>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</si>
  <si>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</si>
  <si>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</si>
  <si>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</si>
  <si>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</si>
  <si>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</si>
  <si>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</si>
  <si>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</si>
  <si>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</si>
  <si>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</si>
  <si>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</si>
  <si>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</si>
  <si>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</si>
  <si>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</si>
  <si>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</si>
  <si>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</si>
  <si>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</si>
  <si>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</si>
  <si>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</si>
  <si>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</si>
  <si>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</si>
  <si>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</si>
  <si>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</si>
  <si>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</si>
  <si>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</si>
  <si>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</si>
  <si>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</si>
  <si>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</si>
  <si>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</si>
  <si>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</si>
  <si>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</si>
  <si>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</si>
  <si>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</si>
  <si>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</si>
  <si>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</si>
  <si>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</si>
  <si>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</si>
  <si>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</si>
  <si>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</si>
  <si>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</si>
  <si>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</si>
  <si>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</si>
  <si>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</si>
  <si>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</si>
  <si>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</si>
  <si>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</si>
  <si>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</si>
  <si>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</si>
  <si>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</si>
  <si>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</si>
  <si>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</si>
  <si>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</si>
  <si>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</si>
  <si>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</si>
  <si>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</si>
  <si>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</si>
  <si>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</si>
  <si>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</si>
  <si>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</si>
  <si>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</si>
  <si>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</si>
  <si>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</si>
  <si>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</si>
  <si>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</si>
  <si>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</si>
  <si>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</si>
  <si>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</si>
  <si>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</si>
  <si>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</si>
  <si>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</si>
  <si>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</si>
  <si>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</si>
  <si>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</si>
  <si>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</si>
  <si>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</si>
  <si>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</si>
  <si>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</si>
  <si>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</si>
  <si>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</si>
  <si>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</si>
  <si>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</si>
  <si>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</si>
  <si>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</si>
  <si>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</si>
  <si>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</si>
  <si>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</si>
  <si>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</si>
  <si>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</si>
  <si>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</si>
  <si>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</si>
  <si>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</si>
  <si>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</si>
  <si>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</si>
  <si>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</si>
  <si>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</si>
  <si>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</si>
  <si>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</si>
  <si>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</si>
  <si>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</si>
  <si>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</si>
  <si>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</si>
  <si>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</si>
  <si>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</si>
  <si>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</si>
  <si>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</si>
  <si>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</si>
  <si>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</si>
  <si>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</si>
  <si>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</si>
  <si>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</si>
  <si>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</si>
  <si>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</si>
  <si>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</si>
  <si>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</si>
  <si>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</si>
  <si>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</si>
  <si>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</si>
  <si>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</si>
  <si>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</si>
  <si>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</si>
  <si>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</si>
  <si>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</si>
  <si>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</si>
  <si>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</si>
  <si>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</si>
  <si>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</si>
  <si>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</si>
  <si>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</si>
  <si>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</si>
  <si>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</si>
  <si>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</si>
  <si>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</si>
  <si>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</si>
  <si>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</si>
  <si>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</si>
  <si>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</si>
  <si>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</si>
  <si>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</si>
  <si>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</si>
  <si>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</si>
  <si>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</si>
  <si>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</si>
  <si>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</si>
  <si>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</si>
  <si>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</si>
  <si>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</si>
  <si>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</si>
  <si>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</si>
  <si>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</si>
  <si>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</si>
  <si>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</si>
  <si>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</si>
  <si>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</si>
  <si>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</si>
  <si>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</si>
  <si>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</si>
  <si>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</si>
  <si>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</si>
  <si>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</si>
  <si>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</si>
  <si>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</si>
  <si>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</si>
  <si>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</si>
  <si>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</si>
  <si>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</si>
  <si>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</si>
  <si>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</si>
  <si>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</si>
  <si>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</si>
  <si>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</si>
  <si>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</si>
  <si>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</si>
  <si>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</si>
  <si>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</si>
  <si>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</si>
  <si>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</si>
  <si>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</si>
  <si>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</si>
  <si>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</si>
  <si>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</si>
  <si>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</si>
  <si>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</si>
  <si>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</si>
  <si>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</si>
  <si>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</si>
  <si>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</si>
  <si>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</si>
  <si>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</si>
  <si>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</si>
  <si>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</si>
  <si>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</si>
  <si>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</si>
  <si>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</si>
  <si>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</si>
  <si>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</si>
  <si>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</si>
  <si>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</si>
  <si>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</si>
  <si>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</si>
  <si>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</si>
  <si>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</si>
  <si>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</si>
  <si>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</si>
  <si>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</si>
  <si>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</si>
  <si>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</si>
  <si>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</si>
  <si>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</si>
  <si>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</si>
  <si>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</si>
  <si>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</si>
  <si>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</si>
  <si>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</si>
  <si>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</si>
  <si>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</si>
  <si>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</si>
  <si>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</si>
  <si>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</si>
  <si>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</si>
  <si>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</si>
  <si>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</si>
  <si>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</si>
  <si>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</si>
  <si>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</si>
  <si>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</si>
  <si>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</si>
  <si>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</si>
  <si>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</si>
  <si>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</si>
  <si>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</si>
  <si>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</si>
  <si>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</si>
  <si>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</si>
  <si>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</si>
  <si>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</si>
  <si>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</si>
  <si>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</si>
  <si>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</si>
  <si>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</si>
  <si>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</si>
  <si>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</si>
  <si>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</si>
  <si>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</si>
  <si>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</si>
  <si>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</si>
  <si>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</si>
  <si>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</si>
  <si>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</si>
  <si>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</si>
  <si>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</si>
  <si>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</si>
  <si>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</si>
  <si>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</si>
  <si>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</si>
  <si>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</si>
  <si>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</si>
  <si>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</si>
  <si>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</si>
  <si>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</si>
  <si>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</si>
  <si>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</si>
  <si>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</si>
  <si>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</si>
  <si>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</si>
  <si>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</si>
  <si>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</si>
  <si>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</si>
  <si>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</si>
  <si>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</si>
  <si>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</si>
  <si>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</si>
  <si>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</si>
  <si>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</si>
  <si>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</si>
  <si>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</si>
  <si>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</si>
  <si>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</si>
  <si>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</si>
  <si>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</si>
  <si>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</si>
  <si>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</si>
  <si>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</si>
  <si>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</si>
  <si>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</si>
  <si>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</si>
  <si>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</si>
  <si>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</si>
  <si>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</si>
  <si>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</si>
  <si>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</si>
  <si>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</si>
  <si>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</si>
  <si>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</si>
  <si>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</si>
  <si>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</si>
  <si>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</si>
  <si>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</si>
  <si>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</si>
  <si>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</si>
  <si>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</si>
  <si>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</si>
  <si>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</si>
  <si>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</si>
  <si>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</si>
  <si>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</si>
  <si>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</si>
  <si>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</si>
  <si>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</si>
  <si>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</si>
  <si>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</si>
  <si>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</si>
  <si>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</si>
  <si>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</si>
  <si>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</si>
  <si>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</si>
  <si>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</si>
  <si>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</si>
  <si>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</si>
  <si>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</si>
  <si>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</si>
  <si>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</si>
  <si>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</si>
  <si>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</si>
  <si>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</si>
  <si>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</si>
  <si>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</si>
  <si>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</si>
  <si>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</si>
  <si>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</si>
  <si>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</si>
  <si>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</si>
  <si>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</si>
  <si>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</si>
  <si>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</si>
  <si>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</si>
  <si>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</si>
  <si>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</si>
  <si>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</si>
  <si>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</si>
  <si>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</si>
  <si>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</si>
  <si>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</si>
  <si>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</si>
  <si>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</si>
  <si>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</si>
  <si>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</si>
  <si>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</si>
  <si>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</si>
  <si>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</si>
  <si>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</si>
  <si>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</si>
  <si>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</si>
  <si>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</si>
  <si>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</si>
  <si>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</si>
  <si>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</si>
  <si>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</si>
  <si>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</si>
  <si>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</si>
  <si>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</si>
  <si>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</si>
  <si>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</si>
  <si>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</si>
  <si>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</si>
  <si>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</si>
  <si>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</si>
  <si>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</si>
  <si>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</si>
  <si>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</si>
  <si>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</si>
  <si>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</si>
  <si>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</si>
  <si>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</si>
  <si>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</si>
  <si>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</si>
  <si>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</si>
  <si>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</si>
  <si>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</si>
  <si>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</si>
  <si>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</si>
  <si>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</si>
  <si>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</si>
  <si>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</si>
  <si>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</si>
  <si>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</si>
  <si>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</si>
  <si>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</si>
  <si>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</si>
  <si>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</si>
  <si>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</si>
  <si>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</si>
  <si>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</si>
  <si>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</si>
  <si>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</si>
  <si>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</si>
  <si>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</si>
  <si>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</si>
  <si>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</si>
  <si>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</si>
  <si>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</si>
  <si>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</si>
  <si>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</si>
  <si>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</si>
  <si>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</si>
  <si>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</si>
  <si>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</si>
  <si>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</si>
  <si>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</si>
  <si>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</si>
  <si>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</si>
  <si>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</si>
  <si>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</si>
  <si>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</si>
  <si>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</si>
  <si>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</si>
  <si>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</si>
  <si>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</si>
  <si>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</si>
  <si>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</si>
  <si>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</si>
  <si>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</si>
  <si>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</si>
  <si>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</si>
  <si>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</si>
  <si>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</si>
  <si>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</si>
  <si>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</si>
  <si>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</si>
  <si>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</si>
  <si>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</si>
  <si>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</si>
  <si>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</si>
  <si>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</si>
  <si>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</si>
  <si>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</si>
  <si>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</si>
  <si>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</si>
  <si>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</si>
  <si>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</si>
  <si>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</si>
  <si>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</si>
  <si>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</si>
  <si>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</si>
  <si>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</si>
  <si>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</si>
  <si>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</si>
  <si>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</si>
  <si>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</si>
  <si>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</si>
  <si>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</si>
  <si>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</si>
  <si>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</si>
  <si>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</si>
  <si>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</si>
  <si>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</si>
  <si>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</si>
  <si>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</si>
  <si>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</si>
  <si>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</si>
  <si>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</si>
  <si>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</si>
  <si>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</si>
  <si>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</si>
  <si>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</si>
  <si>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</si>
  <si>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</si>
  <si>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</si>
  <si>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</si>
  <si>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</si>
  <si>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</si>
  <si>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</si>
  <si>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</si>
  <si>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</si>
  <si>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</si>
  <si>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</si>
  <si>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</si>
  <si>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</si>
  <si>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</si>
  <si>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</si>
  <si>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</si>
  <si>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</si>
  <si>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</si>
  <si>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</si>
  <si>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</si>
  <si>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</si>
  <si>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</si>
  <si>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</si>
  <si>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</si>
  <si>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</si>
  <si>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</si>
  <si>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</si>
  <si>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</si>
  <si>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</si>
  <si>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</si>
  <si>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</si>
  <si>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</si>
  <si>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</si>
  <si>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</si>
  <si>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</si>
  <si>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</si>
  <si>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</si>
  <si>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</si>
  <si>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</si>
  <si>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</si>
  <si>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</si>
  <si>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</si>
  <si>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</si>
  <si>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</si>
  <si>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</si>
  <si>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</si>
  <si>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</si>
  <si>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</si>
  <si>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</si>
  <si>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</si>
  <si>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</si>
  <si>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</si>
  <si>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</si>
  <si>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</si>
  <si>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</si>
  <si>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</si>
  <si>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</si>
  <si>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</si>
  <si>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</si>
  <si>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</si>
  <si>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</si>
  <si>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</si>
  <si>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</si>
  <si>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</si>
  <si>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</si>
  <si>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</si>
  <si>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</si>
  <si>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</si>
  <si>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</si>
  <si>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</si>
  <si>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</si>
  <si>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</si>
  <si>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</si>
  <si>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</si>
  <si>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</si>
  <si>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</si>
  <si>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</si>
  <si>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</si>
  <si>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</si>
  <si>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</si>
  <si>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</si>
  <si>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</si>
  <si>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</si>
  <si>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</si>
  <si>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</si>
  <si>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</si>
  <si>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</si>
  <si>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</si>
  <si>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</si>
  <si>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</si>
  <si>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</si>
  <si>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</si>
  <si>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</si>
  <si>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</si>
  <si>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</si>
  <si>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</si>
  <si>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</si>
  <si>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</si>
  <si>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</si>
  <si>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</si>
  <si>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</si>
  <si>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</si>
  <si>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</si>
  <si>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</si>
  <si>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</si>
  <si>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</si>
  <si>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</si>
  <si>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</si>
  <si>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</si>
  <si>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</si>
  <si>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</si>
  <si>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</si>
  <si>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</si>
  <si>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</si>
  <si>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</si>
  <si>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</si>
  <si>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</si>
  <si>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</si>
  <si>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</si>
  <si>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</si>
  <si>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</si>
  <si>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</si>
  <si>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</si>
  <si>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</si>
  <si>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</si>
  <si>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</si>
  <si>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</si>
  <si>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</si>
  <si>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</si>
  <si>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</si>
  <si>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</si>
  <si>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</si>
  <si>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</si>
  <si>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</si>
  <si>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</si>
  <si>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</si>
  <si>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</si>
  <si>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</si>
  <si>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</si>
  <si>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</si>
  <si>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</si>
  <si>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</si>
  <si>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</si>
  <si>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</si>
  <si>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</si>
  <si>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</si>
  <si>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</si>
  <si>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</si>
  <si>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</si>
  <si>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</si>
  <si>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</si>
  <si>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</si>
  <si>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</si>
  <si>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</si>
  <si>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</si>
  <si>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</si>
  <si>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</si>
  <si>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</si>
  <si>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</si>
  <si>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</si>
  <si>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</si>
  <si>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</si>
  <si>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</si>
  <si>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</si>
  <si>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</si>
  <si>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</si>
  <si>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</si>
  <si>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</si>
  <si>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</si>
  <si>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</si>
  <si>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</si>
  <si>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</si>
  <si>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</si>
  <si>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</si>
  <si>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</si>
  <si>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</si>
  <si>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</si>
  <si>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</si>
  <si>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</si>
  <si>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</si>
  <si>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</si>
  <si>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</si>
  <si>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</si>
  <si>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</si>
  <si>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</si>
  <si>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</si>
  <si>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</si>
  <si>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</si>
  <si>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</si>
  <si>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</si>
  <si>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</si>
  <si>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</si>
  <si>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</si>
  <si>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</si>
  <si>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</si>
  <si>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</si>
  <si>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</si>
  <si>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</si>
  <si>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</si>
  <si>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</si>
  <si>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</si>
  <si>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</si>
  <si>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</si>
  <si>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</si>
  <si>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</si>
  <si>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</si>
  <si>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</si>
  <si>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</si>
  <si>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</si>
  <si>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</si>
  <si>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</si>
  <si>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</si>
  <si>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</si>
  <si>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</si>
  <si>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</si>
  <si>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</si>
  <si>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</si>
  <si>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</si>
  <si>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</si>
  <si>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</si>
  <si>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</si>
  <si>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</si>
  <si>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</si>
  <si>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</si>
  <si>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</si>
  <si>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</si>
  <si>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</si>
  <si>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</si>
  <si>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</si>
  <si>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</si>
  <si>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</si>
  <si>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</si>
  <si>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</si>
  <si>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</si>
  <si>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</si>
  <si>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</si>
  <si>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</si>
  <si>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</si>
  <si>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</si>
  <si>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</si>
  <si>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</si>
  <si>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</si>
  <si>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</si>
  <si>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</si>
  <si>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</si>
  <si>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</si>
  <si>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</si>
  <si>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</si>
  <si>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</si>
  <si>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</si>
  <si>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</si>
  <si>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</si>
  <si>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</si>
  <si>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</si>
  <si>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</si>
  <si>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</si>
  <si>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</si>
  <si>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</si>
  <si>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</si>
  <si>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</si>
  <si>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</si>
  <si>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</si>
  <si>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</si>
  <si>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</si>
  <si>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</si>
  <si>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</si>
  <si>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</si>
  <si>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</si>
  <si>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</si>
  <si>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</si>
  <si>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</si>
  <si>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</si>
  <si>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</si>
  <si>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</si>
  <si>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</si>
  <si>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</si>
  <si>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</si>
  <si>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</si>
  <si>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</si>
  <si>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</si>
  <si>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</si>
  <si>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</si>
  <si>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</si>
  <si>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</si>
  <si>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</si>
  <si>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</si>
  <si>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</si>
  <si>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</si>
  <si>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</si>
  <si>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</si>
  <si>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</si>
  <si>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</si>
  <si>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</si>
  <si>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</si>
  <si>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</si>
  <si>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</si>
  <si>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</si>
  <si>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</si>
  <si>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</si>
  <si>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</si>
  <si>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</si>
  <si>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</si>
  <si>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</si>
  <si>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</si>
  <si>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</si>
  <si>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</si>
  <si>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</si>
  <si>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</si>
  <si>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</si>
  <si>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</si>
  <si>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</si>
  <si>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</si>
  <si>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</si>
  <si>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</si>
  <si>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</si>
  <si>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</si>
  <si>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</si>
  <si>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</si>
  <si>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</si>
  <si>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</si>
  <si>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</si>
  <si>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</si>
  <si>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</si>
  <si>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</si>
  <si>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</si>
  <si>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</si>
  <si>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</si>
  <si>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</si>
  <si>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</si>
  <si>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</si>
  <si>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</si>
  <si>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</si>
  <si>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</si>
  <si>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</si>
  <si>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</si>
  <si>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</si>
  <si>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</si>
  <si>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</si>
  <si>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</si>
  <si>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</si>
  <si>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</si>
  <si>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</si>
  <si>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</si>
  <si>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</si>
  <si>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</si>
  <si>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</si>
  <si>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</si>
  <si>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</si>
  <si>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</si>
  <si>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</si>
  <si>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</si>
  <si>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</si>
  <si>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</si>
  <si>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</si>
  <si>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</si>
  <si>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</si>
  <si>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</si>
  <si>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</si>
  <si>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</si>
  <si>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</si>
  <si>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</si>
  <si>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</si>
  <si>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</si>
  <si>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</si>
  <si>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</si>
  <si>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</si>
  <si>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</si>
  <si>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</si>
  <si>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</si>
  <si>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</si>
  <si>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</si>
  <si>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</si>
  <si>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</si>
  <si>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</si>
  <si>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</si>
  <si>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</si>
  <si>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</si>
  <si>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</si>
  <si>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</si>
  <si>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</si>
  <si>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</si>
  <si>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</si>
  <si>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</si>
  <si>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</si>
  <si>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</si>
  <si>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</si>
  <si>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</si>
  <si>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</si>
  <si>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</si>
  <si>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</si>
  <si>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</si>
  <si>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</si>
  <si>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</si>
  <si>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</si>
  <si>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</si>
  <si>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</si>
  <si>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</si>
  <si>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</si>
  <si>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</si>
  <si>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</si>
  <si>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</si>
  <si>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</si>
  <si>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</si>
  <si>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</si>
  <si>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</si>
  <si>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</si>
  <si>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</si>
  <si>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</si>
  <si>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</si>
  <si>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</si>
  <si>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</si>
  <si>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</si>
  <si>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</si>
  <si>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</si>
  <si>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</si>
  <si>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</si>
  <si>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</si>
  <si>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</si>
  <si>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</si>
  <si>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</si>
  <si>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</si>
  <si>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</si>
  <si>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</si>
  <si>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</si>
  <si>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</si>
  <si>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</si>
  <si>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</si>
  <si>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</si>
  <si>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</si>
  <si>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</si>
  <si>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</si>
  <si>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</si>
  <si>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</si>
  <si>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</si>
  <si>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</si>
  <si>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</si>
  <si>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</si>
  <si>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</si>
  <si>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</si>
  <si>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</si>
  <si>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</si>
  <si>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</si>
  <si>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</si>
  <si>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</si>
  <si>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</si>
  <si>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</si>
  <si>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</si>
  <si>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</si>
  <si>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</si>
  <si>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</si>
  <si>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</si>
  <si>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</si>
  <si>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</si>
  <si>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</si>
  <si>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</si>
  <si>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</si>
  <si>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</si>
  <si>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</si>
  <si>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</si>
  <si>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</si>
  <si>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</si>
  <si>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</si>
  <si>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</si>
  <si>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</si>
  <si>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</si>
  <si>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</si>
  <si>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</si>
  <si>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</si>
  <si>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</si>
  <si>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</si>
  <si>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</si>
  <si>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</si>
  <si>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</si>
  <si>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</si>
  <si>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</si>
  <si>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</si>
  <si>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</si>
  <si>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</si>
  <si>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</si>
  <si>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</si>
  <si>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</si>
  <si>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</si>
  <si>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</si>
  <si>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</si>
  <si>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</si>
  <si>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</si>
  <si>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</si>
  <si>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</si>
  <si>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</si>
  <si>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</si>
  <si>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</si>
  <si>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</si>
  <si>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</si>
  <si>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</si>
  <si>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</si>
  <si>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</si>
  <si>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</si>
  <si>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</si>
  <si>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</si>
  <si>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</si>
  <si>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</si>
  <si>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</si>
  <si>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</si>
  <si>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</si>
  <si>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</si>
  <si>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</si>
  <si>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</si>
  <si>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</si>
  <si>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</si>
  <si>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</si>
  <si>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</si>
  <si>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</si>
  <si>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</si>
  <si>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</si>
  <si>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</si>
  <si>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</si>
  <si>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</si>
  <si>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</si>
  <si>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</si>
  <si>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</si>
  <si>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</si>
  <si>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</si>
  <si>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</si>
  <si>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</si>
  <si>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</si>
  <si>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</si>
  <si>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</si>
  <si>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</si>
  <si>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</si>
  <si>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</si>
  <si>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</si>
  <si>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</si>
  <si>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</si>
  <si>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</si>
  <si>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</si>
  <si>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</si>
  <si>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</si>
  <si>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</si>
  <si>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</si>
  <si>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</si>
  <si>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</si>
  <si>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</si>
  <si>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</si>
  <si>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</si>
  <si>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</si>
  <si>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</si>
  <si>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</si>
  <si>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</si>
  <si>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</si>
  <si>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</si>
  <si>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</si>
  <si>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</si>
  <si>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</si>
  <si>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</si>
  <si>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</si>
  <si>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</si>
  <si>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</si>
  <si>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</si>
  <si>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</si>
  <si>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</si>
  <si>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</si>
  <si>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</si>
  <si>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</si>
  <si>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</si>
  <si>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</si>
  <si>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</si>
  <si>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</si>
  <si>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</si>
  <si>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</si>
  <si>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</si>
  <si>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</si>
  <si>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</si>
  <si>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</si>
  <si>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</si>
  <si>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</si>
  <si>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</si>
  <si>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</si>
  <si>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</si>
  <si>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</si>
  <si>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</si>
  <si>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</si>
  <si>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</si>
  <si>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</si>
  <si>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</si>
  <si>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</si>
  <si>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</si>
  <si>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</si>
  <si>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</si>
  <si>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</si>
  <si>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</si>
  <si>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</si>
  <si>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</si>
  <si>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</si>
  <si>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</si>
  <si>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</si>
  <si>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</si>
  <si>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</si>
  <si>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</si>
  <si>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</si>
  <si>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</si>
  <si>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</si>
  <si>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</si>
  <si>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</si>
  <si>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</si>
  <si>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</si>
  <si>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</si>
  <si>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</si>
  <si>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</si>
  <si>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</si>
  <si>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</si>
  <si>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</si>
  <si>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</si>
  <si>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</si>
  <si>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</si>
  <si>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</si>
  <si>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</si>
  <si>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</si>
  <si>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</si>
  <si>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</si>
  <si>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</si>
  <si>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</si>
  <si>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</si>
  <si>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</si>
  <si>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</si>
  <si>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</si>
  <si>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</si>
  <si>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</si>
  <si>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</si>
  <si>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</si>
  <si>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</si>
  <si>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</si>
  <si>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</si>
  <si>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</si>
  <si>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</si>
  <si>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</si>
  <si>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</si>
  <si>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</si>
  <si>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</si>
  <si>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</si>
  <si>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</si>
  <si>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</si>
  <si>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</si>
  <si>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</si>
  <si>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</si>
  <si>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</si>
  <si>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</si>
  <si>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</si>
  <si>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</si>
  <si>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</si>
  <si>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</si>
  <si>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</si>
  <si>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</si>
  <si>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</si>
  <si>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</si>
  <si>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</si>
  <si>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</si>
  <si>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</si>
  <si>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</si>
  <si>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</si>
  <si>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</si>
  <si>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</si>
  <si>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</si>
  <si>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</si>
  <si>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</si>
  <si>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</si>
  <si>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</si>
  <si>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</si>
  <si>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</si>
  <si>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</si>
  <si>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</si>
  <si>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</si>
  <si>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</si>
  <si>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</si>
  <si>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</si>
  <si>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</si>
  <si>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</si>
  <si>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</si>
  <si>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</si>
  <si>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</si>
  <si>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</si>
  <si>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</si>
  <si>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</si>
  <si>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</si>
  <si>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</si>
  <si>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</si>
  <si>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</si>
  <si>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</si>
  <si>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</si>
  <si>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</si>
  <si>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</si>
  <si>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</si>
  <si>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</si>
  <si>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</si>
  <si>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</si>
  <si>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</si>
  <si>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</si>
  <si>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</si>
  <si>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</si>
  <si>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</si>
  <si>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</si>
  <si>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</si>
  <si>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</si>
  <si>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</si>
  <si>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</si>
  <si>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</si>
  <si>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</si>
  <si>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</si>
  <si>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</si>
  <si>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</si>
  <si>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</si>
  <si>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</si>
  <si>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</si>
  <si>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</si>
  <si>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</si>
  <si>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</si>
  <si>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</si>
  <si>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</si>
  <si>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</si>
  <si>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</si>
  <si>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</si>
  <si>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</si>
  <si>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</si>
  <si>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</si>
  <si>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</si>
  <si>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</si>
  <si>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</si>
  <si>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</si>
  <si>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</si>
  <si>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</si>
  <si>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</si>
  <si>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</si>
  <si>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</si>
  <si>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</si>
  <si>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</si>
  <si>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</si>
  <si>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</si>
  <si>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</si>
  <si>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</si>
  <si>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</si>
  <si>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</si>
  <si>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</si>
  <si>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</si>
  <si>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</si>
  <si>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</si>
  <si>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</si>
  <si>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</si>
  <si>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</si>
  <si>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</si>
  <si>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</si>
  <si>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</si>
  <si>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</si>
  <si>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</si>
  <si>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</si>
  <si>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</si>
  <si>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</si>
  <si>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</si>
  <si>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</si>
  <si>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</si>
  <si>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</si>
  <si>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</si>
  <si>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</si>
  <si>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</si>
  <si>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</si>
  <si>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</si>
  <si>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</si>
  <si>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</si>
  <si>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</si>
  <si>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</si>
  <si>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</si>
  <si>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</si>
  <si>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</si>
  <si>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</si>
  <si>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</si>
  <si>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</si>
  <si>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</si>
  <si>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</si>
  <si>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</si>
  <si>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</si>
  <si>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</si>
  <si>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</si>
  <si>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</si>
  <si>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</si>
  <si>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</si>
  <si>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</si>
  <si>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</si>
  <si>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</si>
  <si>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</si>
  <si>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</si>
  <si>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</si>
  <si>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</si>
  <si>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</si>
  <si>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</si>
  <si>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</si>
  <si>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</si>
  <si>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</si>
  <si>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</si>
  <si>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</si>
  <si>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</si>
  <si>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</si>
  <si>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</si>
  <si>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</si>
  <si>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</si>
  <si>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</si>
  <si>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</si>
  <si>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</si>
  <si>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</si>
  <si>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</si>
  <si>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</si>
  <si>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</si>
  <si>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</si>
  <si>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</si>
  <si>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</si>
  <si>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</si>
  <si>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</si>
  <si>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</si>
  <si>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</si>
  <si>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</si>
  <si>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</si>
  <si>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</si>
  <si>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</si>
  <si>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</si>
  <si>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</si>
  <si>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</si>
  <si>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</si>
  <si>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</si>
  <si>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</si>
  <si>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</si>
  <si>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</si>
  <si>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</si>
  <si>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</si>
  <si>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</si>
  <si>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</si>
  <si>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</si>
  <si>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</si>
  <si>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</si>
  <si>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</si>
  <si>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</si>
  <si>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</si>
  <si>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</si>
  <si>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</si>
  <si>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</si>
  <si>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</si>
  <si>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</si>
  <si>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</si>
  <si>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</si>
  <si>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</si>
  <si>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</si>
  <si>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</si>
  <si>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</si>
  <si>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</si>
  <si>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</si>
  <si>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</si>
  <si>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</si>
  <si>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</si>
  <si>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</si>
  <si>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</si>
  <si>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</si>
  <si>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</si>
  <si>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</si>
  <si>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</si>
  <si>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</si>
  <si>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</si>
  <si>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</si>
  <si>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</si>
  <si>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</si>
  <si>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</si>
  <si>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</si>
  <si>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</si>
  <si>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</si>
  <si>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</si>
  <si>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</si>
  <si>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</si>
  <si>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</si>
  <si>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</si>
  <si>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</si>
  <si>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</si>
  <si>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</si>
  <si>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</si>
  <si>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</si>
  <si>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</si>
  <si>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</si>
  <si>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</si>
  <si>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</si>
  <si>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</si>
  <si>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</si>
  <si>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</si>
  <si>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</si>
  <si>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</si>
  <si>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</si>
  <si>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</si>
  <si>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</si>
  <si>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</si>
  <si>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</si>
  <si>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</si>
  <si>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</si>
  <si>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</si>
  <si>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</si>
  <si>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</si>
  <si>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</si>
  <si>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</si>
  <si>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</si>
  <si>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</si>
  <si>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</si>
  <si>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</si>
  <si>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</si>
  <si>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</si>
  <si>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</si>
  <si>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</si>
  <si>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</si>
  <si>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</si>
  <si>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</si>
  <si>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</si>
  <si>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</si>
  <si>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</si>
  <si>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</si>
  <si>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</si>
  <si>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</si>
  <si>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</si>
  <si>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</si>
  <si>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</si>
  <si>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</si>
  <si>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</si>
  <si>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</si>
  <si>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</si>
  <si>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</si>
  <si>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</si>
  <si>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</si>
  <si>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</si>
  <si>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</si>
  <si>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</si>
  <si>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</si>
  <si>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</si>
  <si>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</si>
  <si>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</si>
  <si>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</si>
  <si>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</si>
  <si>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</si>
  <si>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</si>
  <si>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</si>
  <si>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</si>
  <si>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</si>
  <si>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</si>
  <si>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</si>
  <si>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</si>
  <si>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</si>
  <si>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</si>
  <si>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</si>
  <si>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</si>
  <si>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</si>
  <si>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</si>
  <si>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</si>
  <si>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</si>
  <si>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</si>
  <si>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</si>
  <si>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</si>
  <si>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</si>
  <si>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</si>
  <si>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</si>
  <si>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</si>
  <si>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</si>
  <si>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</si>
  <si>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</si>
  <si>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</si>
  <si>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</si>
  <si>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</si>
  <si>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</si>
  <si>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</si>
  <si>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</si>
  <si>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</si>
  <si>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</si>
  <si>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</si>
  <si>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</si>
  <si>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</si>
  <si>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</si>
  <si>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</si>
  <si>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</si>
  <si>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</si>
  <si>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</si>
  <si>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</si>
  <si>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</si>
  <si>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</si>
  <si>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</si>
  <si>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</si>
  <si>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</si>
  <si>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</si>
  <si>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</si>
  <si>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</si>
  <si>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</si>
  <si>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</si>
  <si>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</si>
  <si>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</si>
  <si>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</si>
  <si>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</si>
  <si>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</si>
  <si>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</si>
  <si>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</si>
  <si>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</si>
  <si>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</si>
  <si>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</si>
  <si>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</si>
  <si>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</si>
  <si>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</si>
  <si>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</si>
  <si>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</si>
  <si>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</si>
  <si>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</si>
  <si>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</si>
  <si>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</si>
  <si>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</si>
  <si>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</si>
  <si>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</si>
  <si>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</si>
  <si>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</si>
  <si>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</si>
  <si>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</si>
  <si>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</si>
  <si>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</si>
  <si>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</si>
  <si>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</si>
  <si>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</si>
  <si>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</si>
  <si>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</si>
  <si>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</si>
  <si>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</si>
  <si>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</si>
  <si>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</si>
  <si>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</si>
  <si>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</si>
  <si>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</si>
  <si>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</si>
  <si>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</si>
  <si>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</si>
  <si>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</si>
  <si>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</si>
  <si>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</si>
  <si>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</si>
  <si>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</si>
  <si>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</si>
  <si>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</si>
  <si>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</si>
  <si>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</si>
  <si>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</si>
  <si>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</si>
  <si>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</si>
  <si>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</si>
  <si>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</si>
  <si>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</si>
  <si>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</si>
  <si>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</si>
  <si>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</si>
  <si>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</si>
  <si>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</si>
  <si>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</si>
  <si>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</si>
  <si>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</si>
  <si>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</si>
  <si>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</si>
  <si>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</si>
  <si>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</si>
  <si>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</si>
  <si>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</si>
  <si>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</si>
  <si>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</si>
  <si>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</si>
  <si>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</si>
  <si>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</si>
  <si>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</si>
  <si>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</si>
  <si>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</si>
  <si>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</si>
  <si>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</si>
  <si>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</si>
  <si>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</si>
  <si>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</si>
  <si>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</si>
  <si>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</si>
  <si>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</si>
  <si>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</si>
  <si>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</si>
  <si>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</si>
  <si>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</si>
  <si>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</si>
  <si>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</si>
  <si>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</si>
  <si>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</si>
  <si>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</si>
  <si>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</si>
  <si>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</si>
  <si>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</si>
  <si>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</si>
  <si>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</si>
  <si>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</si>
  <si>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</si>
  <si>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</si>
  <si>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</si>
  <si>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</si>
  <si>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</si>
  <si>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</si>
  <si>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</si>
  <si>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</si>
  <si>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</si>
  <si>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</si>
  <si>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</si>
  <si>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</si>
  <si>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</si>
  <si>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</si>
  <si>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</si>
  <si>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</si>
  <si>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</si>
  <si>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</si>
  <si>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</si>
  <si>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</si>
  <si>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</si>
  <si>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</si>
  <si>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</si>
  <si>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</si>
  <si>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</si>
  <si>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</si>
  <si>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</si>
  <si>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</si>
  <si>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</si>
  <si>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</si>
  <si>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</si>
  <si>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</si>
  <si>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</si>
  <si>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</si>
  <si>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</si>
  <si>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</si>
  <si>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</si>
  <si>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</si>
  <si>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</si>
  <si>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</si>
  <si>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</si>
  <si>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</si>
  <si>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</si>
  <si>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</si>
  <si>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</si>
  <si>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</si>
  <si>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</si>
  <si>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</si>
  <si>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</si>
  <si>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</si>
  <si>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</si>
  <si>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</si>
  <si>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</si>
  <si>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</si>
  <si>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</si>
  <si>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</si>
  <si>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</si>
  <si>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</si>
  <si>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</si>
  <si>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</si>
  <si>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</si>
  <si>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</si>
  <si>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</si>
  <si>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</si>
  <si>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</si>
  <si>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</si>
  <si>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</si>
  <si>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</si>
  <si>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</si>
  <si>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</si>
  <si>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</si>
  <si>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</si>
  <si>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</si>
  <si>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</si>
  <si>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</si>
  <si>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</si>
  <si>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</si>
  <si>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</si>
  <si>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</si>
  <si>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</si>
  <si>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</si>
  <si>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</si>
  <si>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</si>
  <si>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</si>
  <si>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</si>
  <si>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</si>
  <si>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</si>
  <si>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</si>
  <si>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</si>
  <si>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</si>
  <si>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</si>
  <si>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</si>
  <si>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</si>
  <si>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</si>
  <si>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</si>
  <si>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</si>
  <si>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</si>
  <si>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</si>
  <si>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</si>
  <si>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</si>
  <si>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</si>
  <si>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</si>
  <si>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</si>
  <si>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</si>
  <si>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</si>
  <si>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</si>
  <si>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</si>
  <si>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</si>
  <si>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</si>
  <si>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</si>
  <si>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</si>
  <si>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</si>
  <si>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</si>
  <si>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</si>
  <si>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</si>
  <si>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</si>
  <si>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</si>
  <si>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</si>
  <si>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</si>
  <si>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</si>
  <si>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</si>
  <si>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</si>
  <si>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</si>
  <si>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</si>
  <si>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</si>
  <si>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</si>
  <si>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</si>
  <si>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</si>
  <si>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</si>
  <si>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</si>
  <si>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</si>
  <si>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</si>
  <si>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</si>
  <si>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</si>
  <si>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</si>
  <si>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</si>
  <si>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</si>
  <si>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</si>
  <si>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</si>
  <si>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</si>
  <si>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</si>
  <si>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</si>
  <si>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</si>
  <si>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</si>
  <si>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</si>
  <si>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</si>
  <si>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</si>
  <si>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</si>
  <si>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</si>
  <si>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</si>
  <si>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</si>
  <si>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</si>
  <si>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</si>
  <si>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</si>
  <si>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</si>
  <si>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</si>
  <si>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</si>
  <si>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</si>
  <si>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</si>
  <si>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</si>
  <si>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</si>
  <si>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</si>
  <si>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</si>
  <si>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</si>
  <si>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</si>
  <si>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</si>
  <si>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</si>
  <si>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</si>
  <si>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</si>
  <si>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</si>
  <si>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</si>
  <si>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</si>
  <si>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</si>
  <si>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</si>
  <si>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</si>
  <si>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</si>
  <si>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</si>
  <si>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</si>
  <si>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</si>
  <si>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</si>
  <si>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</si>
  <si>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</si>
  <si>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</si>
  <si>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</si>
  <si>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</si>
  <si>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</si>
  <si>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</si>
  <si>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</si>
  <si>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</si>
  <si>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</si>
  <si>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</si>
  <si>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</si>
  <si>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</si>
  <si>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</si>
  <si>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</si>
  <si>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</si>
  <si>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</si>
  <si>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</si>
  <si>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</si>
  <si>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</si>
  <si>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</si>
  <si>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</si>
  <si>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</si>
  <si>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</si>
  <si>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</si>
  <si>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</si>
  <si>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</si>
  <si>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</si>
  <si>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</si>
  <si>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</si>
  <si>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</si>
  <si>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</si>
  <si>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</si>
  <si>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</si>
  <si>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</si>
  <si>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</si>
  <si>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</si>
  <si>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</si>
  <si>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</si>
  <si>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</si>
  <si>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</si>
  <si>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</si>
  <si>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</si>
  <si>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</si>
  <si>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</si>
  <si>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</si>
  <si>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</si>
  <si>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</si>
  <si>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</si>
  <si>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</si>
  <si>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</si>
  <si>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</si>
  <si>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</si>
  <si>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</si>
  <si>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</si>
  <si>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</si>
  <si>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</si>
  <si>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</si>
  <si>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</si>
  <si>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</si>
  <si>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</si>
  <si>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</si>
  <si>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</si>
  <si>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</si>
  <si>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</si>
  <si>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</si>
  <si>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</si>
  <si>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</si>
  <si>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</si>
  <si>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</si>
  <si>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</si>
  <si>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</si>
  <si>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</si>
  <si>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</si>
  <si>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</si>
  <si>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</si>
  <si>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</si>
  <si>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</si>
  <si>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</si>
  <si>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</si>
  <si>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</si>
  <si>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</si>
  <si>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</si>
  <si>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</si>
  <si>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</si>
  <si>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</si>
  <si>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</si>
  <si>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</si>
  <si>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</si>
  <si>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</si>
  <si>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</si>
  <si>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</si>
  <si>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</si>
  <si>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</si>
  <si>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</si>
  <si>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</si>
  <si>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</si>
  <si>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</si>
  <si>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</si>
  <si>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</si>
  <si>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</si>
  <si>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</si>
  <si>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</si>
  <si>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</si>
  <si>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</si>
  <si>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</si>
  <si>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</si>
  <si>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</si>
  <si>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</si>
  <si>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</si>
  <si>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</si>
  <si>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</si>
  <si>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</si>
  <si>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</si>
  <si>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</si>
  <si>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</si>
  <si>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</si>
  <si>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</si>
  <si>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</si>
  <si>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</si>
  <si>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</si>
  <si>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</si>
  <si>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</si>
  <si>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</si>
  <si>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</si>
  <si>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</si>
  <si>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</si>
  <si>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</si>
  <si>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</si>
  <si>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</si>
  <si>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</si>
  <si>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</si>
  <si>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</si>
  <si>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</si>
  <si>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</si>
  <si>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</si>
  <si>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</si>
  <si>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</si>
  <si>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</si>
  <si>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</si>
  <si>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</si>
  <si>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</si>
  <si>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</si>
  <si>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</si>
  <si>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</si>
  <si>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</si>
  <si>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</si>
  <si>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</si>
  <si>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</si>
  <si>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</si>
  <si>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</si>
  <si>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</si>
  <si>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</si>
  <si>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</si>
  <si>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</si>
  <si>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</si>
  <si>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</si>
  <si>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</si>
  <si>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</si>
  <si>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</si>
  <si>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</si>
  <si>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</si>
  <si>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</si>
  <si>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</si>
  <si>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</si>
  <si>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</si>
  <si>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</si>
  <si>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</si>
  <si>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</si>
  <si>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</si>
  <si>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</si>
  <si>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</si>
  <si>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</si>
  <si>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</si>
  <si>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</si>
  <si>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</si>
  <si>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</si>
  <si>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</si>
  <si>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</si>
  <si>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</si>
  <si>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</si>
  <si>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</si>
  <si>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</si>
  <si>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</si>
  <si>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</si>
  <si>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</si>
  <si>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</si>
  <si>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</si>
  <si>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</si>
  <si>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</si>
  <si>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</si>
  <si>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</si>
  <si>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</si>
  <si>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</si>
  <si>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</si>
  <si>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</si>
  <si>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</si>
  <si>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</si>
  <si>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</si>
  <si>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</si>
  <si>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</si>
  <si>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</si>
  <si>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</si>
  <si>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</si>
  <si>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</si>
  <si>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</si>
  <si>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</si>
  <si>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</si>
  <si>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</si>
  <si>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</si>
  <si>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</si>
  <si>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</si>
  <si>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</si>
  <si>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</si>
  <si>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</si>
  <si>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</si>
  <si>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</si>
  <si>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</si>
  <si>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</si>
  <si>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</si>
  <si>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</si>
  <si>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</si>
  <si>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</si>
  <si>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</si>
  <si>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</si>
  <si>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</si>
  <si>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</si>
  <si>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</si>
  <si>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</si>
  <si>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</si>
  <si>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</si>
  <si>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</si>
  <si>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</si>
  <si>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</si>
  <si>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</si>
  <si>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</si>
  <si>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</si>
  <si>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</si>
  <si>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</si>
  <si>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</si>
  <si>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</si>
  <si>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</si>
  <si>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</si>
  <si>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</si>
  <si>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</si>
  <si>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</si>
  <si>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</si>
  <si>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</si>
  <si>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</si>
  <si>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</si>
  <si>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</si>
  <si>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</si>
  <si>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</si>
  <si>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</si>
  <si>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</si>
  <si>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</si>
  <si>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</si>
  <si>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</si>
  <si>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</si>
  <si>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</si>
  <si>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</si>
  <si>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</si>
  <si>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</si>
  <si>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</si>
  <si>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</si>
  <si>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</si>
  <si>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</si>
  <si>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</si>
  <si>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</si>
  <si>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</si>
  <si>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</si>
  <si>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</si>
  <si>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</si>
  <si>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</si>
  <si>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</si>
  <si>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</si>
  <si>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</si>
  <si>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</si>
  <si>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</si>
  <si>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</si>
  <si>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</si>
  <si>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</si>
  <si>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</si>
  <si>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</si>
  <si>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</si>
  <si>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</si>
  <si>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</si>
  <si>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</si>
  <si>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</si>
  <si>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</si>
  <si>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</si>
  <si>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</si>
  <si>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</si>
  <si>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</si>
  <si>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</si>
  <si>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</si>
  <si>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</si>
  <si>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</si>
  <si>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</si>
  <si>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</si>
  <si>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</si>
  <si>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</si>
  <si>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</si>
  <si>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</si>
  <si>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</si>
  <si>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</si>
  <si>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</si>
  <si>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</si>
  <si>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</si>
  <si>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</si>
  <si>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</si>
  <si>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</si>
  <si>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</si>
  <si>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</si>
  <si>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</si>
  <si>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</si>
  <si>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</si>
  <si>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</si>
  <si>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</si>
  <si>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</si>
  <si>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</si>
  <si>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</si>
  <si>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</si>
  <si>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</si>
  <si>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</si>
  <si>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</si>
  <si>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</si>
  <si>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</si>
  <si>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</si>
  <si>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</si>
  <si>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</si>
  <si>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</si>
  <si>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</si>
  <si>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</si>
  <si>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</si>
  <si>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</si>
  <si>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</si>
  <si>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</si>
  <si>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</si>
  <si>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</si>
  <si>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</si>
  <si>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</si>
  <si>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</si>
  <si>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</si>
  <si>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</si>
  <si>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</si>
  <si>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</si>
  <si>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</si>
  <si>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</si>
  <si>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</si>
  <si>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</si>
  <si>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</si>
  <si>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</si>
  <si>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</si>
  <si>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</si>
  <si>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</si>
  <si>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</si>
  <si>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</si>
  <si>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</si>
  <si>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</si>
  <si>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</si>
  <si>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</si>
  <si>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</si>
  <si>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</si>
  <si>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</si>
  <si>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</si>
  <si>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</si>
  <si>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</si>
  <si>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</si>
  <si>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</si>
  <si>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</si>
  <si>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</si>
  <si>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</si>
  <si>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</si>
  <si>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</si>
  <si>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</si>
  <si>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</si>
  <si>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</si>
  <si>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</si>
  <si>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</si>
  <si>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</si>
  <si>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</si>
  <si>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</si>
  <si>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</si>
  <si>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</si>
  <si>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</si>
  <si>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</si>
  <si>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</si>
  <si>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</si>
  <si>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</si>
  <si>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</si>
  <si>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</si>
  <si>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</si>
  <si>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</si>
  <si>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</si>
  <si>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</si>
  <si>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</si>
  <si>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</si>
  <si>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</si>
  <si>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</si>
  <si>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</si>
  <si>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</si>
  <si>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</si>
  <si>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</si>
  <si>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</si>
  <si>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</si>
  <si>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</si>
  <si>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</si>
  <si>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</si>
  <si>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</si>
  <si>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</si>
  <si>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</si>
  <si>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</si>
  <si>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</si>
  <si>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</si>
  <si>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</si>
  <si>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</si>
  <si>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</si>
  <si>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</si>
  <si>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</si>
  <si>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</si>
  <si>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</si>
  <si>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</si>
  <si>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</si>
  <si>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</si>
  <si>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</si>
  <si>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</si>
  <si>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</si>
  <si>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</si>
  <si>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</si>
  <si>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</si>
  <si>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</si>
  <si>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</si>
  <si>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</si>
  <si>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</si>
  <si>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</si>
  <si>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</si>
  <si>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</si>
  <si>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</si>
  <si>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</si>
  <si>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</si>
  <si>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</si>
  <si>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</si>
  <si>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</si>
  <si>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</si>
  <si>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</si>
  <si>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</si>
  <si>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</si>
  <si>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</si>
  <si>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</si>
  <si>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</si>
  <si>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</si>
  <si>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</si>
  <si>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</si>
  <si>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</si>
  <si>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</si>
  <si>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</si>
  <si>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</si>
  <si>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</si>
  <si>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</si>
  <si>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</si>
  <si>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</si>
  <si>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</si>
  <si>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</si>
  <si>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</si>
  <si>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</si>
  <si>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</si>
  <si>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</si>
  <si>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</si>
  <si>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</si>
  <si>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</si>
  <si>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</si>
  <si>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</si>
  <si>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</si>
  <si>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</si>
  <si>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</si>
  <si>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</si>
  <si>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</si>
  <si>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</si>
  <si>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</si>
  <si>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</si>
  <si>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</si>
  <si>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</si>
  <si>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</si>
  <si>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</si>
  <si>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</si>
  <si>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</si>
  <si>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</si>
  <si>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</si>
  <si>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</si>
  <si>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</si>
  <si>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</si>
  <si>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</si>
  <si>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</si>
  <si>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</si>
  <si>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</si>
  <si>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</si>
  <si>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</si>
  <si>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</si>
  <si>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</si>
  <si>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</si>
  <si>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</si>
  <si>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</si>
  <si>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</si>
  <si>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</si>
  <si>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</si>
  <si>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</si>
  <si>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</si>
  <si>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</si>
  <si>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</si>
  <si>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</si>
  <si>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</si>
  <si>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</si>
  <si>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</si>
  <si>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</si>
  <si>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</si>
  <si>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</si>
  <si>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</si>
  <si>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</si>
  <si>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</si>
  <si>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</si>
  <si>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</si>
  <si>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</si>
  <si>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</si>
  <si>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</si>
  <si>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</si>
  <si>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</si>
  <si>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</si>
  <si>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</si>
  <si>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</si>
  <si>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</si>
  <si>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</si>
  <si>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</si>
  <si>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</si>
  <si>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</si>
  <si>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</si>
  <si>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</si>
  <si>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</si>
  <si>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</si>
  <si>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</si>
  <si>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</si>
  <si>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</si>
  <si>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</si>
  <si>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</si>
  <si>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</si>
  <si>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</si>
  <si>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</si>
  <si>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</si>
  <si>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</si>
  <si>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</si>
  <si>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</si>
  <si>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</si>
  <si>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</si>
  <si>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</si>
  <si>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</si>
  <si>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</si>
  <si>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</si>
  <si>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</si>
  <si>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</si>
  <si>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</si>
  <si>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</si>
  <si>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</si>
  <si>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</si>
  <si>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</si>
  <si>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</si>
  <si>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</si>
  <si>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</si>
  <si>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</si>
  <si>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</si>
  <si>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</si>
  <si>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</si>
  <si>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</si>
  <si>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</si>
  <si>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</si>
  <si>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</si>
  <si>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</si>
  <si>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</si>
  <si>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</si>
  <si>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</si>
  <si>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</si>
  <si>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</si>
  <si>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</si>
  <si>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</si>
  <si>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</si>
  <si>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</si>
  <si>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</si>
  <si>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</si>
  <si>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</si>
  <si>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</si>
  <si>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</si>
  <si>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</si>
  <si>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</si>
  <si>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</si>
  <si>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</si>
  <si>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</si>
  <si>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</si>
  <si>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</si>
  <si>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</si>
  <si>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</si>
  <si>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</si>
  <si>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</si>
  <si>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</si>
  <si>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</si>
  <si>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</si>
  <si>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</si>
  <si>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</si>
  <si>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</si>
  <si>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</si>
  <si>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</si>
  <si>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</si>
  <si>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</si>
  <si>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</si>
  <si>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</si>
  <si>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</si>
  <si>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</si>
  <si>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</si>
  <si>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</si>
  <si>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</si>
  <si>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</si>
  <si>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</si>
  <si>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</si>
  <si>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</si>
  <si>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</si>
  <si>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</si>
  <si>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</si>
  <si>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</si>
  <si>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</si>
  <si>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</si>
  <si>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</si>
  <si>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</si>
  <si>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</si>
  <si>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</si>
  <si>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</si>
  <si>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</si>
  <si>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</si>
  <si>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</si>
  <si>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</si>
  <si>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</si>
  <si>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</si>
  <si>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</si>
  <si>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</si>
  <si>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</si>
  <si>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</si>
  <si>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</si>
  <si>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</si>
  <si>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</si>
  <si>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</si>
  <si>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</si>
  <si>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</si>
  <si>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</si>
  <si>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</si>
  <si>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</si>
  <si>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</si>
  <si>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</si>
  <si>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</si>
  <si>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</si>
  <si>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</si>
  <si>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</si>
  <si>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</si>
  <si>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</si>
  <si>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</si>
  <si>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</si>
  <si>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</si>
  <si>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</si>
  <si>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</si>
  <si>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</si>
  <si>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</si>
  <si>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</si>
  <si>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</si>
  <si>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</si>
  <si>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</si>
  <si>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</si>
  <si>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</si>
  <si>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</si>
  <si>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</si>
  <si>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</si>
  <si>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</si>
  <si>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</si>
  <si>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</si>
  <si>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</si>
  <si>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</si>
  <si>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</si>
  <si>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</si>
  <si>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</si>
  <si>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</si>
  <si>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</si>
  <si>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</si>
  <si>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</si>
  <si>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</si>
  <si>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</si>
  <si>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</si>
  <si>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</si>
  <si>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</si>
  <si>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</si>
  <si>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</si>
  <si>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</si>
  <si>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</si>
  <si>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</si>
  <si>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</si>
  <si>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</si>
  <si>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</si>
  <si>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</si>
  <si>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</si>
  <si>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</si>
  <si>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</si>
  <si>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</si>
  <si>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</si>
  <si>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</si>
  <si>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</si>
  <si>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</si>
  <si>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</si>
  <si>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</si>
  <si>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</si>
  <si>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</si>
  <si>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</si>
  <si>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</si>
  <si>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</si>
  <si>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</si>
  <si>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</si>
  <si>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</si>
  <si>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</si>
  <si>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</si>
  <si>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</si>
  <si>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</si>
  <si>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</si>
  <si>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</si>
  <si>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</si>
  <si>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</si>
  <si>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</si>
  <si>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</si>
  <si>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</si>
  <si>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</si>
  <si>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</si>
  <si>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</si>
  <si>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</si>
  <si>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</si>
  <si>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</si>
  <si>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</si>
  <si>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</si>
  <si>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</si>
  <si>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</si>
  <si>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</si>
  <si>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</si>
  <si>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</si>
  <si>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</si>
  <si>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</si>
  <si>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</si>
  <si>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</si>
  <si>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</si>
  <si>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</si>
  <si>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</si>
  <si>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</si>
  <si>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</si>
  <si>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</si>
  <si>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</si>
  <si>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</si>
  <si>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</si>
  <si>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</si>
  <si>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</si>
  <si>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</si>
  <si>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</si>
  <si>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</si>
  <si>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</si>
  <si>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</si>
  <si>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</si>
  <si>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</si>
  <si>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</si>
  <si>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</si>
  <si>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</si>
  <si>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</si>
  <si>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</si>
  <si>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</si>
  <si>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</si>
  <si>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</si>
  <si>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</si>
  <si>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</si>
  <si>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</si>
  <si>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</si>
  <si>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</si>
  <si>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</si>
  <si>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</si>
  <si>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</si>
  <si>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</si>
  <si>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</si>
  <si>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</si>
  <si>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</si>
  <si>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</si>
  <si>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</si>
  <si>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</si>
  <si>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</si>
  <si>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</si>
  <si>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</si>
  <si>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</si>
  <si>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</si>
  <si>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</si>
  <si>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</si>
  <si>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</si>
  <si>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</si>
  <si>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</si>
  <si>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</si>
  <si>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</si>
  <si>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</si>
  <si>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</si>
  <si>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</si>
  <si>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</si>
  <si>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</si>
  <si>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</si>
  <si>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</si>
  <si>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</si>
  <si>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</si>
  <si>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</si>
  <si>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</si>
  <si>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</si>
  <si>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</si>
  <si>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</si>
  <si>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</si>
  <si>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</si>
  <si>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</si>
  <si>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</si>
  <si>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</si>
  <si>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</si>
  <si>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</si>
  <si>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</si>
  <si>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</si>
  <si>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</si>
  <si>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</si>
  <si>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</si>
  <si>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</si>
  <si>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</si>
  <si>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</si>
  <si>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</si>
  <si>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</si>
  <si>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</si>
  <si>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</si>
  <si>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</si>
  <si>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</si>
  <si>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</si>
  <si>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</si>
  <si>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</si>
  <si>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</si>
  <si>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</si>
  <si>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</si>
  <si>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</si>
  <si>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</si>
  <si>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</si>
  <si>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</si>
  <si>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</si>
  <si>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</si>
  <si>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</si>
  <si>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</si>
  <si>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</si>
  <si>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</si>
  <si>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</si>
  <si>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</si>
  <si>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</si>
  <si>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</si>
  <si>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</si>
  <si>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</si>
  <si>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</si>
  <si>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</si>
  <si>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</si>
  <si>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</si>
  <si>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</si>
  <si>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</si>
  <si>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</si>
  <si>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</si>
  <si>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</si>
  <si>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</si>
  <si>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</si>
  <si>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</si>
  <si>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</si>
  <si>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</si>
  <si>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</si>
  <si>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</si>
  <si>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</si>
  <si>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</si>
  <si>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</si>
  <si>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</si>
  <si>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</si>
  <si>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</si>
  <si>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</si>
  <si>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</si>
  <si>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</si>
  <si>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</si>
  <si>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</si>
  <si>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</si>
  <si>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</si>
  <si>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</si>
  <si>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</si>
  <si>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</si>
  <si>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</si>
  <si>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</si>
  <si>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</si>
  <si>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</si>
  <si>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</si>
  <si>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</si>
  <si>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</si>
  <si>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</si>
  <si>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</si>
  <si>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</si>
  <si>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</si>
  <si>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</si>
  <si>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</si>
  <si>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</si>
  <si>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</si>
  <si>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</si>
  <si>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</si>
  <si>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</si>
  <si>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</si>
  <si>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</si>
  <si>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</si>
  <si>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</si>
  <si>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</si>
  <si>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</si>
  <si>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</si>
  <si>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</si>
  <si>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</si>
  <si>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</si>
  <si>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</si>
  <si>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</si>
  <si>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</si>
  <si>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</si>
  <si>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</si>
  <si>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</si>
  <si>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</si>
  <si>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</si>
  <si>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</si>
  <si>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</si>
  <si>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</si>
  <si>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</si>
  <si>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</si>
  <si>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</si>
  <si>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</si>
  <si>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</si>
  <si>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</si>
  <si>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</si>
  <si>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</si>
  <si>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</si>
  <si>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</si>
  <si>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</si>
  <si>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</si>
  <si>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</si>
  <si>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</si>
  <si>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</si>
  <si>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</si>
  <si>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</si>
  <si>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</si>
  <si>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</si>
  <si>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</si>
  <si>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</si>
  <si>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</si>
  <si>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</si>
  <si>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</si>
  <si>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</si>
  <si>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</si>
  <si>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</si>
  <si>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</si>
  <si>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</si>
  <si>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</si>
  <si>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</si>
  <si>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</si>
  <si>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</si>
  <si>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</si>
  <si>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</si>
  <si>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</si>
  <si>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</si>
  <si>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</si>
  <si>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</si>
  <si>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</si>
  <si>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</si>
  <si>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</si>
  <si>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</si>
  <si>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</si>
  <si>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</si>
  <si>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</si>
  <si>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</si>
  <si>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</si>
  <si>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</si>
  <si>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</si>
  <si>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</si>
  <si>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</si>
  <si>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</si>
  <si>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</si>
  <si>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</si>
  <si>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</si>
  <si>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</si>
  <si>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</si>
  <si>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</si>
  <si>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</si>
  <si>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</si>
  <si>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</si>
  <si>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</si>
  <si>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</si>
  <si>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</si>
  <si>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</si>
  <si>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</si>
  <si>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</si>
  <si>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</si>
  <si>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</si>
  <si>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</si>
  <si>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</si>
  <si>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</si>
  <si>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</si>
  <si>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</si>
  <si>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</si>
  <si>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</si>
  <si>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</si>
  <si>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</si>
  <si>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</si>
  <si>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</si>
  <si>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</si>
  <si>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</si>
  <si>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</si>
  <si>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</si>
  <si>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</si>
  <si>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</si>
  <si>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</si>
  <si>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</si>
  <si>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</si>
  <si>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</si>
  <si>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</si>
  <si>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</si>
  <si>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</si>
  <si>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</si>
  <si>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</si>
  <si>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</si>
  <si>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</si>
  <si>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</si>
  <si>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</si>
  <si>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</si>
  <si>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</si>
  <si>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</si>
  <si>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</si>
  <si>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</si>
  <si>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</si>
  <si>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</si>
  <si>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</si>
  <si>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</si>
  <si>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</si>
  <si>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</si>
  <si>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</si>
  <si>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</si>
  <si>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</si>
  <si>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</si>
  <si>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</si>
  <si>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</si>
  <si>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</si>
  <si>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</si>
  <si>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</si>
  <si>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</si>
  <si>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</si>
  <si>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</si>
  <si>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</si>
  <si>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</si>
  <si>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</si>
  <si>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</si>
  <si>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</si>
  <si>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</si>
  <si>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</si>
  <si>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</si>
  <si>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</si>
  <si>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</si>
  <si>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</si>
  <si>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</si>
  <si>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</si>
  <si>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</si>
  <si>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</si>
  <si>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</si>
  <si>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</si>
  <si>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</si>
  <si>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</si>
  <si>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</si>
  <si>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</si>
  <si>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</si>
  <si>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</si>
  <si>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</si>
  <si>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</si>
  <si>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</si>
  <si>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</si>
  <si>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</si>
  <si>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</si>
  <si>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</si>
  <si>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</si>
  <si>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</si>
  <si>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</si>
  <si>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</si>
  <si>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</si>
  <si>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</si>
  <si>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</si>
  <si>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</si>
  <si>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</si>
  <si>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</si>
  <si>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</si>
  <si>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</si>
  <si>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</si>
  <si>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</si>
  <si>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</si>
  <si>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</si>
  <si>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</si>
  <si>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</si>
  <si>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</si>
  <si>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</si>
  <si>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</si>
  <si>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</si>
  <si>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</si>
  <si>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</si>
  <si>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</si>
  <si>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</si>
  <si>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</si>
  <si>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</si>
  <si>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</si>
  <si>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</si>
  <si>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</si>
  <si>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</si>
  <si>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</si>
  <si>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</si>
  <si>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</si>
  <si>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</si>
  <si>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</si>
  <si>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</si>
  <si>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</si>
  <si>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</si>
  <si>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</si>
  <si>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</si>
  <si>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</si>
  <si>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</si>
  <si>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</si>
  <si>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</si>
  <si>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</si>
  <si>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</si>
  <si>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</si>
  <si>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</si>
  <si>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</si>
  <si>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</si>
  <si>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</si>
  <si>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</si>
  <si>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</si>
  <si>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</si>
  <si>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</si>
  <si>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</si>
  <si>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</si>
  <si>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</si>
  <si>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</si>
  <si>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</si>
  <si>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</si>
  <si>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</si>
  <si>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</si>
  <si>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</si>
  <si>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</si>
  <si>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</si>
  <si>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</si>
  <si>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</si>
  <si>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</si>
  <si>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</si>
  <si>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</si>
  <si>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</si>
  <si>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</si>
  <si>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</si>
  <si>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</si>
  <si>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</si>
  <si>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</si>
  <si>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</si>
  <si>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</si>
  <si>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</si>
  <si>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</si>
  <si>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</si>
  <si>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</si>
  <si>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</si>
  <si>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</si>
  <si>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</si>
  <si>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</si>
  <si>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</si>
  <si>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</si>
  <si>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</si>
  <si>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</si>
  <si>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</si>
  <si>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</si>
  <si>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</si>
  <si>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</si>
  <si>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</si>
  <si>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</si>
  <si>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</si>
  <si>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</si>
  <si>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</si>
  <si>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</si>
  <si>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</si>
  <si>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</si>
  <si>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</si>
  <si>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</si>
  <si>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</si>
  <si>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</si>
  <si>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</si>
  <si>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</si>
  <si>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</si>
  <si>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</si>
  <si>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</si>
  <si>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</si>
  <si>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</si>
  <si>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</si>
  <si>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</si>
  <si>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</si>
  <si>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</si>
  <si>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</si>
  <si>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</si>
  <si>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</si>
  <si>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</si>
  <si>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</si>
  <si>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</si>
  <si>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</si>
  <si>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</si>
  <si>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</si>
  <si>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</si>
  <si>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</si>
  <si>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</si>
  <si>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</si>
  <si>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</si>
  <si>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</si>
  <si>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</si>
  <si>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</si>
  <si>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</si>
  <si>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</si>
  <si>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</si>
  <si>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</si>
  <si>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</si>
  <si>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</si>
  <si>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</si>
  <si>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</si>
  <si>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</si>
  <si>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</si>
  <si>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</si>
  <si>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</si>
  <si>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</si>
  <si>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</si>
  <si>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</si>
  <si>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</si>
  <si>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</si>
  <si>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</si>
  <si>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</si>
  <si>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</si>
  <si>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</si>
  <si>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</si>
  <si>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</si>
  <si>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</si>
  <si>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</si>
  <si>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</si>
  <si>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</si>
  <si>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</si>
  <si>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</si>
  <si>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</si>
  <si>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</si>
  <si>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</si>
  <si>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</si>
  <si>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</si>
  <si>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</si>
  <si>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</si>
  <si>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</si>
  <si>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</si>
  <si>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</si>
  <si>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</si>
  <si>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</si>
  <si>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</si>
  <si>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</si>
  <si>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</si>
  <si>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</si>
  <si>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</si>
  <si>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</si>
  <si>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</si>
  <si>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</si>
  <si>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</si>
  <si>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</si>
  <si>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</si>
  <si>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</si>
  <si>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</si>
  <si>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</si>
  <si>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</si>
  <si>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</si>
  <si>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</si>
  <si>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</si>
  <si>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</si>
  <si>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</si>
  <si>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</si>
  <si>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</si>
  <si>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</si>
  <si>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</si>
  <si>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</si>
  <si>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</si>
  <si>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</si>
  <si>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</si>
  <si>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</si>
  <si>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</si>
  <si>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</si>
  <si>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</si>
  <si>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</si>
  <si>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</si>
  <si>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</si>
  <si>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</si>
  <si>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</si>
  <si>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</si>
  <si>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</si>
  <si>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</si>
  <si>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</si>
  <si>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</si>
  <si>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</si>
  <si>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</si>
  <si>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</si>
  <si>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</si>
  <si>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</si>
  <si>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</si>
  <si>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</si>
  <si>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</si>
  <si>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</si>
  <si>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</si>
  <si>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</si>
  <si>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</si>
  <si>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</si>
  <si>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</si>
  <si>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</si>
  <si>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</si>
  <si>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</si>
  <si>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</si>
  <si>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</si>
  <si>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</si>
  <si>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</si>
  <si>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</si>
  <si>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</si>
  <si>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</si>
  <si>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</si>
  <si>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</si>
  <si>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</si>
  <si>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</si>
  <si>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</si>
  <si>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</si>
  <si>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</si>
  <si>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</si>
  <si>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</si>
  <si>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</si>
  <si>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</si>
  <si>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</si>
  <si>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</si>
  <si>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</si>
  <si>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</si>
  <si>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</si>
  <si>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</si>
  <si>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</si>
  <si>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</si>
  <si>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</si>
  <si>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</si>
  <si>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</si>
  <si>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</si>
  <si>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</si>
  <si>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</si>
  <si>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</si>
  <si>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</si>
  <si>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</si>
  <si>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</si>
  <si>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</si>
  <si>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</si>
  <si>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</si>
  <si>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</si>
  <si>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</si>
  <si>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</si>
  <si>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</si>
  <si>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</si>
  <si>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</si>
  <si>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</si>
  <si>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</si>
  <si>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</si>
  <si>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</si>
  <si>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</si>
  <si>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</si>
  <si>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</si>
  <si>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</si>
  <si>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</si>
  <si>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</si>
  <si>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</si>
  <si>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</si>
  <si>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</si>
  <si>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</si>
  <si>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</si>
  <si>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</si>
  <si>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</si>
  <si>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</si>
  <si>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</si>
  <si>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</si>
  <si>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</si>
  <si>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</si>
  <si>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</si>
  <si>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</si>
  <si>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</si>
  <si>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</si>
  <si>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</si>
  <si>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</si>
  <si>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</si>
  <si>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</si>
  <si>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</si>
  <si>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</si>
  <si>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</si>
  <si>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</si>
  <si>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</si>
  <si>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</si>
  <si>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</si>
  <si>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</si>
  <si>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</si>
  <si>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</si>
  <si>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</si>
  <si>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</si>
  <si>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</si>
  <si>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</si>
  <si>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</si>
  <si>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</si>
  <si>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</si>
  <si>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</si>
  <si>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</si>
  <si>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</si>
  <si>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</si>
  <si>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</si>
  <si>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</si>
  <si>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</si>
  <si>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</si>
  <si>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</si>
  <si>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</si>
  <si>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</si>
  <si>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</si>
  <si>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</si>
  <si>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</si>
  <si>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</si>
  <si>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</si>
  <si>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</si>
  <si>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</si>
  <si>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</si>
  <si>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</si>
  <si>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</si>
  <si>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</si>
  <si>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</si>
  <si>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</si>
  <si>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</si>
  <si>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</si>
  <si>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</si>
  <si>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</si>
  <si>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</si>
  <si>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</si>
  <si>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</si>
  <si>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</si>
  <si>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</si>
  <si>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</si>
  <si>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</si>
  <si>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</si>
  <si>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</si>
  <si>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</si>
  <si>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</si>
  <si>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</si>
  <si>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</si>
  <si>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</si>
  <si>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</si>
  <si>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</si>
  <si>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</si>
  <si>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</si>
  <si>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</si>
  <si>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</si>
  <si>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</si>
  <si>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</si>
  <si>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</si>
  <si>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</si>
  <si>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</si>
  <si>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</si>
  <si>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</si>
  <si>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</si>
  <si>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</si>
  <si>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</si>
  <si>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</si>
  <si>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</si>
  <si>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</si>
  <si>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</si>
  <si>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</si>
  <si>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</si>
  <si>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</si>
  <si>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</si>
  <si>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</si>
  <si>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</si>
  <si>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</si>
  <si>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</si>
  <si>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</si>
  <si>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</si>
  <si>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</si>
  <si>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</si>
  <si>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</si>
  <si>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</si>
  <si>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</si>
  <si>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</si>
  <si>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</si>
  <si>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</si>
  <si>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</si>
  <si>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</si>
  <si>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</si>
  <si>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</si>
  <si>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</si>
  <si>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</si>
  <si>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</si>
  <si>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</si>
  <si>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</si>
  <si>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</si>
  <si>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</si>
  <si>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</si>
  <si>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</si>
  <si>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</si>
  <si>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</si>
  <si>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</si>
  <si>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</si>
  <si>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</si>
  <si>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</si>
  <si>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</si>
  <si>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</si>
  <si>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</si>
  <si>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</si>
  <si>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</si>
  <si>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</si>
  <si>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</si>
  <si>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</si>
  <si>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</si>
  <si>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</si>
  <si>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</si>
  <si>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</si>
  <si>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</si>
  <si>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</si>
  <si>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</si>
  <si>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</si>
  <si>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</si>
  <si>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</si>
  <si>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</si>
  <si>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</si>
  <si>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</si>
  <si>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</si>
  <si>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</si>
  <si>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</si>
  <si>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</si>
  <si>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</si>
  <si>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</si>
  <si>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</si>
  <si>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</si>
  <si>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</si>
  <si>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</si>
  <si>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</si>
  <si>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</si>
  <si>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</si>
  <si>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</si>
  <si>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</si>
  <si>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</si>
  <si>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</si>
  <si>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</si>
  <si>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</si>
  <si>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</si>
  <si>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</si>
  <si>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</si>
  <si>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</si>
  <si>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</si>
  <si>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</si>
  <si>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</si>
  <si>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</si>
  <si>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</si>
  <si>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</si>
  <si>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</si>
  <si>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</si>
  <si>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</si>
  <si>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</si>
  <si>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</si>
  <si>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</si>
  <si>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</si>
  <si>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</si>
  <si>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</si>
  <si>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</si>
  <si>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</si>
  <si>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</si>
  <si>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</si>
  <si>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</si>
  <si>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</si>
  <si>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</si>
  <si>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</si>
  <si>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</si>
  <si>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</si>
  <si>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</si>
  <si>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</si>
  <si>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</si>
  <si>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</si>
  <si>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</si>
  <si>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</si>
  <si>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</si>
  <si>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</si>
  <si>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</si>
  <si>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</si>
  <si>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</si>
  <si>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</si>
  <si>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</si>
  <si>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</si>
  <si>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</si>
  <si>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</si>
  <si>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</si>
  <si>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</si>
  <si>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</si>
  <si>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</si>
  <si>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</si>
  <si>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</si>
  <si>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</si>
  <si>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</si>
  <si>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</si>
  <si>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</si>
  <si>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</si>
  <si>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</si>
  <si>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</si>
  <si>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</si>
  <si>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</si>
  <si>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</si>
  <si>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</si>
  <si>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</si>
  <si>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</si>
  <si>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</si>
  <si>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</si>
  <si>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</si>
  <si>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</si>
  <si>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</si>
  <si>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</si>
  <si>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</si>
  <si>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</si>
  <si>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</si>
  <si>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</si>
  <si>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</si>
  <si>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</si>
  <si>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</si>
  <si>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</si>
  <si>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</si>
  <si>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</si>
  <si>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</si>
  <si>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</si>
  <si>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</si>
  <si>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</si>
  <si>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</si>
  <si>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</si>
  <si>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</si>
  <si>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</si>
  <si>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</si>
  <si>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</si>
  <si>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</si>
  <si>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</si>
  <si>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</si>
  <si>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</si>
  <si>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</si>
  <si>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</si>
  <si>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</si>
  <si>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</si>
  <si>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</si>
  <si>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</si>
  <si>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</si>
  <si>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</si>
  <si>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</si>
  <si>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</si>
  <si>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</si>
  <si>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</si>
  <si>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</si>
  <si>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</si>
  <si>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</si>
  <si>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</si>
  <si>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</si>
  <si>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</si>
  <si>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</si>
  <si>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</si>
  <si>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</si>
  <si>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</si>
  <si>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</si>
  <si>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</si>
  <si>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</si>
  <si>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</si>
  <si>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</si>
  <si>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</si>
  <si>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</si>
  <si>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</si>
  <si>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</si>
  <si>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</si>
  <si>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</si>
  <si>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</si>
  <si>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</si>
  <si>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</si>
  <si>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</si>
  <si>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</si>
  <si>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</si>
  <si>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</si>
  <si>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</si>
  <si>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</si>
  <si>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</si>
  <si>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</si>
  <si>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</si>
  <si>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</si>
  <si>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</si>
  <si>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</si>
  <si>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</si>
  <si>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</si>
  <si>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</si>
  <si>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</si>
  <si>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</si>
  <si>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</si>
  <si>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</si>
  <si>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</si>
  <si>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</si>
  <si>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</si>
  <si>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</si>
  <si>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</si>
  <si>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</si>
  <si>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</si>
  <si>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</si>
  <si>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</si>
  <si>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</si>
  <si>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</si>
  <si>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</si>
  <si>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</si>
  <si>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</si>
  <si>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</si>
  <si>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</si>
  <si>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</si>
  <si>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</si>
  <si>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</si>
  <si>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</si>
  <si>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</si>
  <si>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</si>
  <si>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</si>
  <si>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</si>
  <si>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</si>
  <si>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</si>
  <si>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</si>
  <si>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</si>
  <si>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</si>
  <si>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</si>
  <si>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</si>
  <si>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</si>
  <si>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</si>
  <si>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</si>
  <si>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</si>
  <si>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</si>
  <si>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</si>
  <si>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</si>
  <si>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</si>
  <si>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</si>
  <si>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</si>
  <si>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</si>
  <si>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</si>
  <si>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</si>
  <si>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</si>
  <si>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</si>
  <si>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</si>
  <si>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</si>
  <si>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</si>
  <si>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</si>
  <si>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</si>
  <si>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</si>
  <si>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</si>
  <si>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</si>
  <si>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</si>
  <si>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</si>
  <si>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</si>
  <si>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</si>
  <si>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</si>
  <si>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</si>
  <si>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</si>
  <si>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</si>
  <si>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</si>
  <si>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</si>
  <si>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</si>
  <si>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</si>
  <si>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</si>
  <si>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</si>
  <si>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</si>
  <si>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</si>
  <si>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</si>
  <si>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</si>
  <si>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</si>
  <si>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</si>
  <si>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</si>
  <si>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</si>
  <si>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</si>
  <si>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</si>
  <si>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</si>
  <si>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</si>
  <si>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</si>
  <si>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</si>
  <si>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</si>
  <si>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</si>
  <si>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</si>
  <si>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</si>
  <si>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</si>
  <si>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</si>
  <si>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</si>
  <si>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</si>
  <si>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</si>
  <si>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</si>
  <si>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</si>
  <si>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</si>
  <si>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</si>
  <si>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</si>
  <si>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</si>
  <si>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</si>
  <si>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</si>
  <si>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</si>
  <si>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</si>
  <si>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</si>
  <si>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</si>
  <si>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</si>
  <si>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</si>
  <si>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</si>
  <si>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</si>
  <si>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</si>
  <si>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</si>
  <si>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</si>
  <si>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</si>
  <si>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</si>
  <si>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</si>
  <si>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</si>
  <si>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</si>
  <si>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</si>
  <si>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</si>
  <si>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</si>
  <si>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</si>
  <si>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</si>
  <si>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</si>
  <si>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</si>
  <si>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</si>
  <si>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</si>
  <si>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</si>
  <si>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</si>
  <si>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</si>
  <si>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</si>
  <si>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</si>
  <si>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</si>
  <si>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</si>
  <si>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</si>
  <si>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</si>
  <si>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</si>
  <si>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</si>
  <si>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</si>
  <si>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</si>
  <si>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</si>
  <si>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</si>
  <si>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</si>
  <si>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</si>
  <si>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</si>
  <si>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</si>
  <si>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</si>
  <si>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</si>
  <si>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</si>
  <si>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</si>
  <si>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</si>
  <si>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</si>
  <si>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</si>
  <si>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</si>
  <si>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</si>
  <si>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</si>
  <si>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</si>
  <si>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</si>
  <si>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</si>
  <si>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</si>
  <si>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</si>
  <si>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</si>
  <si>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</si>
  <si>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</si>
  <si>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</si>
  <si>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</si>
  <si>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</si>
  <si>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</si>
  <si>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</si>
  <si>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</si>
  <si>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</si>
  <si>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</si>
  <si>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</si>
  <si>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</si>
  <si>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</si>
  <si>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</si>
  <si>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</si>
  <si>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</si>
  <si>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</si>
  <si>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</si>
  <si>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</si>
  <si>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</si>
  <si>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</si>
  <si>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</si>
  <si>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</si>
  <si>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</si>
  <si>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</si>
  <si>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</si>
  <si>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</si>
  <si>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</si>
  <si>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</si>
  <si>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</si>
  <si>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</si>
  <si>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</si>
  <si>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</si>
  <si>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</si>
  <si>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</si>
  <si>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</si>
  <si>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</si>
  <si>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</si>
  <si>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</si>
  <si>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</si>
  <si>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</si>
  <si>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</si>
  <si>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</si>
  <si>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</si>
  <si>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</si>
  <si>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</si>
  <si>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</si>
  <si>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</si>
  <si>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</si>
  <si>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</si>
  <si>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</si>
  <si>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</si>
  <si>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</si>
  <si>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</si>
  <si>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</si>
  <si>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</si>
  <si>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</si>
  <si>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</si>
  <si>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</si>
  <si>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</si>
  <si>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</si>
  <si>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</si>
  <si>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</si>
  <si>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</si>
  <si>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</si>
  <si>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</si>
  <si>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</si>
  <si>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</si>
  <si>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</si>
  <si>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</si>
  <si>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</si>
  <si>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</si>
  <si>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</si>
  <si>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</si>
  <si>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</si>
  <si>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</si>
  <si>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</si>
  <si>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</si>
  <si>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</si>
  <si>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</si>
  <si>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</si>
  <si>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</si>
  <si>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</si>
  <si>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</si>
  <si>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</si>
  <si>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</si>
  <si>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</si>
  <si>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</si>
  <si>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</si>
  <si>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</si>
  <si>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</si>
  <si>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</si>
  <si>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</si>
  <si>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</si>
  <si>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</si>
  <si>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</si>
  <si>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</si>
  <si>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</si>
  <si>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</si>
  <si>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</si>
  <si>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</si>
  <si>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</si>
  <si>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</si>
  <si>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</si>
  <si>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</si>
  <si>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</si>
  <si>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</si>
  <si>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</si>
  <si>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</si>
  <si>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</si>
  <si>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</si>
  <si>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</si>
  <si>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</si>
  <si>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</si>
  <si>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</si>
  <si>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</si>
  <si>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</si>
  <si>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</si>
  <si>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</si>
  <si>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</si>
  <si>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</si>
  <si>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</si>
  <si>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</si>
  <si>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</si>
  <si>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</si>
  <si>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</si>
  <si>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</si>
  <si>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</si>
  <si>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</si>
  <si>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</si>
  <si>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</si>
  <si>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</si>
  <si>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</si>
  <si>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</si>
  <si>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</si>
  <si>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</si>
  <si>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</si>
  <si>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</si>
  <si>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</si>
  <si>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</si>
  <si>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</si>
  <si>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</si>
  <si>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</si>
  <si>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</si>
  <si>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</si>
  <si>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</si>
  <si>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</si>
  <si>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</si>
  <si>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</si>
  <si>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</si>
  <si>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</si>
  <si>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</si>
  <si>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</si>
  <si>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</si>
  <si>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</si>
  <si>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</si>
  <si>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</si>
  <si>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</si>
  <si>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</si>
  <si>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</si>
  <si>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</si>
  <si>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</si>
  <si>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</si>
  <si>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</si>
  <si>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</si>
  <si>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</si>
  <si>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</si>
  <si>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</si>
  <si>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</si>
  <si>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</si>
  <si>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</si>
  <si>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</si>
  <si>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</si>
  <si>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</si>
  <si>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</si>
  <si>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</si>
  <si>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</si>
  <si>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</si>
  <si>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</si>
  <si>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</si>
  <si>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</si>
  <si>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</si>
  <si>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</si>
  <si>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</si>
  <si>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</si>
  <si>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</si>
  <si>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</si>
  <si>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</si>
  <si>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</si>
  <si>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</si>
  <si>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</si>
  <si>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</si>
  <si>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</si>
  <si>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</si>
  <si>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</si>
  <si>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</si>
  <si>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</si>
  <si>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</si>
  <si>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</si>
  <si>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</si>
  <si>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</si>
  <si>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</si>
  <si>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</si>
  <si>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</si>
  <si>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</si>
  <si>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</si>
  <si>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</si>
  <si>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</si>
  <si>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</si>
  <si>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</si>
  <si>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</si>
  <si>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</si>
  <si>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</si>
  <si>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</si>
  <si>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</si>
  <si>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</si>
  <si>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</si>
  <si>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</si>
  <si>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</si>
  <si>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</si>
  <si>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</si>
  <si>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</si>
  <si>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</si>
  <si>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</si>
  <si>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</si>
  <si>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</si>
  <si>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</si>
  <si>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</si>
  <si>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</si>
  <si>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</si>
  <si>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</si>
  <si>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</si>
  <si>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</si>
  <si>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</si>
  <si>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</si>
  <si>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</si>
  <si>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</si>
  <si>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</si>
  <si>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</si>
  <si>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</si>
  <si>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</si>
  <si>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</si>
  <si>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</si>
  <si>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</si>
  <si>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</si>
  <si>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</si>
  <si>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</si>
  <si>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</si>
  <si>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</si>
  <si>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</si>
  <si>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</si>
  <si>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</si>
  <si>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</si>
  <si>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</si>
  <si>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</si>
  <si>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</si>
  <si>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</si>
  <si>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</si>
  <si>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</si>
  <si>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</si>
  <si>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</si>
  <si>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</si>
  <si>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</si>
  <si>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</si>
  <si>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</si>
  <si>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</si>
  <si>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</si>
  <si>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</si>
  <si>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</si>
  <si>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</si>
  <si>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</si>
  <si>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</si>
  <si>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</si>
  <si>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</si>
  <si>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</si>
  <si>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</si>
  <si>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</si>
  <si>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</si>
  <si>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</si>
  <si>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</si>
  <si>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</si>
  <si>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</si>
  <si>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</si>
  <si>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</si>
  <si>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</si>
  <si>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</si>
  <si>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</si>
  <si>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</si>
  <si>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</si>
  <si>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</si>
  <si>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</si>
  <si>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</si>
  <si>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</si>
  <si>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</si>
  <si>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</si>
  <si>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</si>
  <si>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</si>
  <si>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</si>
  <si>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</si>
  <si>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</si>
  <si>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</si>
  <si>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</si>
  <si>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</si>
  <si>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</si>
  <si>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</si>
  <si>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</si>
  <si>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</si>
  <si>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</si>
  <si>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</si>
  <si>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</si>
  <si>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</si>
  <si>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</si>
  <si>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</si>
  <si>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</si>
  <si>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</si>
  <si>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</si>
  <si>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</si>
  <si>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</si>
  <si>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</si>
  <si>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</si>
  <si>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</si>
  <si>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</si>
  <si>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</si>
  <si>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</si>
  <si>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</si>
  <si>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</si>
  <si>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</si>
  <si>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</si>
  <si>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</si>
  <si>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</si>
  <si>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</si>
  <si>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</si>
  <si>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</si>
  <si>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</si>
  <si>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</si>
  <si>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</si>
  <si>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</si>
  <si>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</si>
  <si>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</si>
  <si>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</si>
  <si>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</si>
  <si>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</si>
  <si>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</si>
  <si>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</si>
  <si>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</si>
  <si>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</si>
  <si>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</si>
  <si>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</si>
  <si>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</si>
  <si>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</si>
  <si>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</si>
  <si>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</si>
  <si>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</si>
  <si>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</si>
  <si>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</si>
  <si>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</si>
  <si>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</si>
  <si>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</si>
  <si>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</si>
  <si>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</si>
  <si>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</si>
  <si>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</si>
  <si>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</si>
  <si>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</si>
  <si>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</si>
  <si>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</si>
  <si>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</si>
  <si>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</si>
  <si>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</si>
  <si>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</si>
  <si>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</si>
  <si>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</si>
  <si>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</si>
  <si>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</si>
  <si>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</si>
  <si>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</si>
  <si>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</si>
  <si>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</si>
  <si>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</si>
  <si>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</si>
  <si>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</si>
  <si>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</si>
  <si>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</si>
  <si>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</si>
  <si>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</si>
  <si>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</si>
  <si>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</si>
  <si>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</si>
  <si>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</si>
  <si>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</si>
  <si>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</si>
  <si>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</si>
  <si>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</si>
  <si>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</si>
  <si>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</si>
  <si>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</si>
  <si>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</si>
  <si>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</si>
  <si>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</si>
  <si>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</si>
  <si>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</si>
  <si>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</si>
  <si>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</si>
  <si>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</si>
  <si>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</si>
  <si>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</si>
  <si>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</si>
  <si>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</si>
  <si>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</si>
  <si>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</si>
  <si>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</si>
  <si>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</si>
  <si>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</si>
  <si>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</si>
  <si>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</si>
  <si>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</si>
  <si>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</si>
  <si>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</si>
  <si>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</si>
  <si>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</si>
  <si>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</si>
  <si>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</si>
  <si>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</si>
  <si>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</si>
  <si>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</si>
  <si>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</si>
  <si>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</si>
  <si>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</si>
  <si>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</si>
  <si>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</si>
  <si>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</si>
  <si>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</si>
  <si>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</si>
  <si>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</si>
  <si>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</si>
  <si>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</si>
  <si>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</si>
  <si>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</si>
  <si>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</si>
  <si>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</si>
  <si>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</si>
  <si>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</si>
  <si>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</si>
  <si>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</si>
  <si>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</si>
  <si>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</si>
  <si>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</si>
  <si>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</si>
  <si>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</si>
  <si>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</si>
  <si>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</si>
  <si>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</si>
  <si>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</si>
  <si>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</si>
  <si>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</si>
  <si>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</si>
  <si>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</si>
  <si>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</si>
  <si>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</si>
  <si>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</si>
  <si>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</si>
  <si>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</si>
  <si>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</si>
  <si>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</si>
  <si>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</si>
  <si>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</si>
  <si>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</si>
  <si>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</si>
  <si>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</si>
  <si>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</si>
  <si>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</si>
  <si>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</si>
  <si>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</si>
  <si>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</si>
  <si>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</si>
  <si>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</si>
  <si>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</si>
  <si>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</si>
  <si>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</si>
  <si>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</si>
  <si>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</si>
  <si>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</si>
  <si>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</si>
  <si>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</si>
  <si>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</si>
  <si>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</si>
  <si>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</si>
  <si>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</si>
  <si>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</si>
  <si>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</si>
  <si>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</si>
  <si>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</si>
  <si>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</si>
  <si>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</si>
  <si>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</si>
  <si>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</si>
  <si>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</si>
  <si>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</si>
  <si>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</si>
  <si>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</si>
  <si>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</si>
  <si>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</si>
  <si>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</si>
  <si>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</si>
  <si>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</si>
  <si>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</si>
  <si>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</si>
  <si>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</si>
  <si>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</si>
  <si>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</si>
  <si>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</si>
  <si>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</si>
  <si>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</si>
  <si>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</si>
  <si>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</si>
  <si>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</si>
  <si>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</si>
  <si>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</si>
  <si>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</si>
  <si>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</si>
  <si>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</si>
  <si>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</si>
  <si>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</si>
  <si>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</si>
  <si>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</si>
  <si>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</si>
  <si>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</si>
  <si>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</si>
  <si>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</si>
  <si>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</si>
  <si>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</si>
  <si>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</si>
  <si>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</si>
  <si>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</si>
  <si>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</si>
  <si>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</si>
  <si>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</si>
  <si>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</si>
  <si>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</si>
  <si>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</si>
  <si>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</si>
  <si>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</si>
  <si>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</si>
  <si>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</si>
  <si>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</si>
  <si>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</si>
  <si>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</si>
  <si>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</si>
  <si>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</si>
  <si>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</si>
  <si>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</si>
  <si>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</si>
  <si>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</si>
  <si>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</si>
  <si>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</si>
  <si>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</si>
  <si>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</si>
  <si>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</si>
  <si>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</si>
  <si>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</si>
  <si>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</si>
  <si>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</si>
  <si>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</si>
  <si>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</si>
  <si>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</si>
  <si>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</si>
  <si>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</si>
  <si>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</si>
  <si>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</si>
  <si>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</si>
  <si>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</si>
  <si>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</si>
  <si>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</si>
  <si>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</si>
  <si>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</si>
  <si>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</si>
  <si>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</si>
  <si>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</si>
  <si>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</si>
  <si>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</si>
  <si>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</si>
  <si>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</si>
  <si>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</si>
  <si>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</si>
  <si>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</si>
  <si>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</si>
  <si>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</si>
  <si>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</si>
  <si>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</si>
  <si>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</si>
  <si>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</si>
  <si>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</si>
  <si>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</si>
  <si>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</si>
  <si>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</si>
  <si>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</si>
  <si>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</si>
  <si>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</si>
  <si>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</si>
  <si>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</si>
  <si>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</si>
  <si>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</si>
  <si>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</si>
  <si>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</si>
  <si>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</si>
  <si>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</si>
  <si>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</si>
  <si>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</si>
  <si>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</si>
  <si>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</si>
  <si>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</si>
  <si>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</si>
  <si>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</si>
  <si>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</si>
  <si>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</si>
  <si>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</si>
  <si>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</si>
  <si>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</si>
  <si>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</si>
  <si>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</si>
  <si>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</si>
  <si>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</si>
  <si>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</si>
  <si>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</si>
  <si>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</si>
  <si>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</si>
  <si>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</si>
  <si>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</si>
  <si>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</si>
  <si>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</si>
  <si>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</si>
  <si>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</si>
  <si>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</si>
  <si>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</si>
  <si>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Online (Unspecified)</t>
  </si>
  <si>
    <t>DESCRIPTIVE STATISTICS</t>
  </si>
  <si>
    <t>Mean</t>
  </si>
  <si>
    <t>Median</t>
  </si>
  <si>
    <t>Mode</t>
  </si>
  <si>
    <t>Min</t>
  </si>
  <si>
    <t>Max</t>
  </si>
  <si>
    <t>StdDev</t>
  </si>
  <si>
    <t>Count</t>
  </si>
  <si>
    <t>BUSINESS METRICS</t>
  </si>
  <si>
    <t>METRIC</t>
  </si>
  <si>
    <t>VALUE</t>
  </si>
  <si>
    <t>Total Revenue</t>
  </si>
  <si>
    <t>Total Orders</t>
  </si>
  <si>
    <t>Avg Order Value</t>
  </si>
  <si>
    <t>Total Items Sold</t>
  </si>
  <si>
    <t>Highest Order Value</t>
  </si>
  <si>
    <t>Lowest Order Value</t>
  </si>
  <si>
    <t>Row Labels</t>
  </si>
  <si>
    <t>Grand Total</t>
  </si>
  <si>
    <t>Sum of TotalPrice</t>
  </si>
  <si>
    <t>Count of OrderID</t>
  </si>
  <si>
    <t>Average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</si>
  <si>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</si>
  <si>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</si>
  <si>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</si>
  <si>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</si>
  <si>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</si>
  <si>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</si>
  <si>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</si>
  <si>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</si>
  <si>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</si>
  <si>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</si>
  <si>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</si>
  <si>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</si>
  <si>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ORDER STATUS DISTRIBUTION</t>
  </si>
  <si>
    <t>Status</t>
  </si>
  <si>
    <t>Percentage</t>
  </si>
  <si>
    <t>TOTAL</t>
  </si>
  <si>
    <t>REVENUE BY REFERRAL SOURCE</t>
  </si>
  <si>
    <t>Referral Source</t>
  </si>
  <si>
    <t>Order Count</t>
  </si>
  <si>
    <t>OUTLIER DETECTION (IQR Method)</t>
  </si>
  <si>
    <t>Q1 (25th Percentile)</t>
  </si>
  <si>
    <t>Q3 (75th Percentile)</t>
  </si>
  <si>
    <t>IQR (Q3 minus Q1)</t>
  </si>
  <si>
    <t>Lower Bound</t>
  </si>
  <si>
    <t>Upper Bound</t>
  </si>
  <si>
    <t>Outlier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</si>
</sst>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₦&quot;* #,##0.00_-;\-&quot;₦&quot;* #,##0.00_-;_-&quot;₦&quot;* &quot;-&quot;??_-;_-@_-"/>
    <numFmt numFmtId="164" formatCode="yyyy\-mm\-dd"/>
    <numFmt numFmtId="171" formatCode="_-[$$-409]* #,##0.00_ ;_-[$$-409]* \-#,##0.00\ ;_-[$$-409]* &quot;-&quot;??_ ;_-@_ "/>
    <numFmt numFmtId="177" formatCode="_-[$$-409]* #,##0_ ;_-[$$-409]* \-#,##0\ ;_-[$$-409]* &quot;-&quot;??_ ;_-@_ "/>
    <numFmt numFmtId="179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1" fillId="0" borderId="0" xfId="0" applyFont="1"/>
    <xf numFmtId="171" fontId="0" fillId="0" borderId="0" xfId="0" applyNumberFormat="1"/>
    <xf numFmtId="2" fontId="0" fillId="0" borderId="0" xfId="0" applyNumberFormat="1"/>
    <xf numFmtId="17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77" fontId="0" fillId="0" borderId="0" xfId="0" applyNumberFormat="1"/>
    <xf numFmtId="177" fontId="1" fillId="0" borderId="0" xfId="0" applyNumberFormat="1" applyFont="1"/>
    <xf numFmtId="0" fontId="0" fillId="0" borderId="0" xfId="0" applyFont="1" applyAlignment="1">
      <alignment horizontal="left"/>
    </xf>
    <xf numFmtId="177" fontId="0" fillId="0" borderId="0" xfId="0" applyNumberFormat="1" applyFont="1"/>
    <xf numFmtId="0" fontId="0" fillId="0" borderId="0" xfId="0" applyNumberFormat="1" applyFont="1"/>
    <xf numFmtId="0" fontId="0" fillId="0" borderId="0" xfId="0" applyFont="1"/>
    <xf numFmtId="0" fontId="0" fillId="2" borderId="0" xfId="0" applyFill="1" applyAlignment="1">
      <alignment horizontal="left"/>
    </xf>
    <xf numFmtId="177" fontId="0" fillId="2" borderId="0" xfId="0" applyNumberFormat="1" applyFill="1"/>
    <xf numFmtId="0" fontId="0" fillId="2" borderId="0" xfId="0" applyNumberFormat="1" applyFill="1"/>
    <xf numFmtId="0" fontId="0" fillId="3" borderId="0" xfId="0" applyFill="1" applyAlignment="1">
      <alignment horizontal="left"/>
    </xf>
    <xf numFmtId="177" fontId="0" fillId="3" borderId="0" xfId="0" applyNumberFormat="1" applyFill="1"/>
    <xf numFmtId="0" fontId="0" fillId="3" borderId="0" xfId="0" applyNumberFormat="1" applyFill="1"/>
    <xf numFmtId="179" fontId="0" fillId="0" borderId="0" xfId="2" applyNumberFormat="1" applyFont="1"/>
    <xf numFmtId="179" fontId="1" fillId="0" borderId="0" xfId="2" applyNumberFormat="1" applyFont="1" applyAlignment="1">
      <alignment vertical="center" wrapText="1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/>
  </cellXfs>
  <cellStyles count="3">
    <cellStyle name="Currency" xfId="1" builtinId="4"/>
    <cellStyle name="Normal" xfId="0" builtinId="0"/>
    <cellStyle name="Percent" xfId="2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7" formatCode="_-[$$-409]* #,##0_ ;_-[$$-409]* \-#,##0\ ;_-[$$-409]* &quot;-&quot;??_ ;_-@_ "/>
    </dxf>
    <dxf>
      <numFmt numFmtId="177" formatCode="_-[$$-409]* #,##0_ ;_-[$$-409]* \-#,##0\ ;_-[$$-409]* &quot;-&quot;??_ ;_-@_ "/>
    </dxf>
    <dxf>
      <numFmt numFmtId="177" formatCode="_-[$$-409]* #,##0_ ;_-[$$-409]* \-#,##0\ ;_-[$$-409]* &quot;-&quot;??_ ;_-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Data Analytics (DecodeLabs).xlsx]Revenue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Revenue</a:t>
            </a:r>
            <a:r>
              <a:rPr lang="en-US" sz="1600" b="1" baseline="0"/>
              <a:t> by Product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Product'!$A$4:$A$11</c:f>
              <c:strCache>
                <c:ptCount val="7"/>
                <c:pt idx="0">
                  <c:v>Phone</c:v>
                </c:pt>
                <c:pt idx="1">
                  <c:v>Desk</c:v>
                </c:pt>
                <c:pt idx="2">
                  <c:v>Monitor</c:v>
                </c:pt>
                <c:pt idx="3">
                  <c:v>Tablet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'Revenue by Product'!$B$4:$B$11</c:f>
              <c:numCache>
                <c:formatCode>_-[$$-409]* #,##0_ ;_-[$$-409]* \-#,##0\ ;_-[$$-409]* "-"??_ ;_-@_ </c:formatCode>
                <c:ptCount val="7"/>
                <c:pt idx="0">
                  <c:v>151722.39000000001</c:v>
                </c:pt>
                <c:pt idx="1">
                  <c:v>167459.93</c:v>
                </c:pt>
                <c:pt idx="2">
                  <c:v>175651.40999999997</c:v>
                </c:pt>
                <c:pt idx="3">
                  <c:v>186568.95000000007</c:v>
                </c:pt>
                <c:pt idx="4">
                  <c:v>192126.55999999994</c:v>
                </c:pt>
                <c:pt idx="5">
                  <c:v>195612.60999999996</c:v>
                </c:pt>
                <c:pt idx="6">
                  <c:v>195620.11000000002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F-4413-80A2-A0468BA19821}"/>
            </c:ext>
          </c:extLst>
        </c:ser>
        <c:ser>
          <c:idx val="1"/>
          <c:order val="1"/>
          <c:tx>
            <c:strRef>
              <c:f>'Revenue by Product'!$C$3</c:f>
              <c:strCache>
                <c:ptCount val="1"/>
                <c:pt idx="0">
                  <c:v>Average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Product'!$A$4:$A$11</c:f>
              <c:strCache>
                <c:ptCount val="7"/>
                <c:pt idx="0">
                  <c:v>Phone</c:v>
                </c:pt>
                <c:pt idx="1">
                  <c:v>Desk</c:v>
                </c:pt>
                <c:pt idx="2">
                  <c:v>Monitor</c:v>
                </c:pt>
                <c:pt idx="3">
                  <c:v>Tablet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'Revenue by Product'!$C$4:$C$11</c:f>
              <c:numCache>
                <c:formatCode>_-[$$-409]* #,##0_ ;_-[$$-409]* \-#,##0\ ;_-[$$-409]* "-"??_ ;_-@_ </c:formatCode>
                <c:ptCount val="7"/>
                <c:pt idx="0">
                  <c:v>972.57942307692315</c:v>
                </c:pt>
                <c:pt idx="1">
                  <c:v>985.05841176470585</c:v>
                </c:pt>
                <c:pt idx="2">
                  <c:v>1077.6160122699384</c:v>
                </c:pt>
                <c:pt idx="3">
                  <c:v>1042.2846368715088</c:v>
                </c:pt>
                <c:pt idx="4">
                  <c:v>1110.558150289017</c:v>
                </c:pt>
                <c:pt idx="5">
                  <c:v>1080.7326519337014</c:v>
                </c:pt>
                <c:pt idx="6">
                  <c:v>1098.989382022472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4F-4413-80A2-A0468BA19821}"/>
            </c:ext>
          </c:extLst>
        </c:ser>
        <c:ser>
          <c:idx val="2"/>
          <c:order val="2"/>
          <c:tx>
            <c:strRef>
              <c:f>'Revenue by Product'!$D$3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 by Product'!$A$4:$A$11</c:f>
              <c:strCache>
                <c:ptCount val="7"/>
                <c:pt idx="0">
                  <c:v>Phone</c:v>
                </c:pt>
                <c:pt idx="1">
                  <c:v>Desk</c:v>
                </c:pt>
                <c:pt idx="2">
                  <c:v>Monitor</c:v>
                </c:pt>
                <c:pt idx="3">
                  <c:v>Tablet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'Revenue by Product'!$D$4:$D$11</c:f>
              <c:numCache>
                <c:formatCode>General</c:formatCode>
                <c:ptCount val="7"/>
                <c:pt idx="0">
                  <c:v>156</c:v>
                </c:pt>
                <c:pt idx="1">
                  <c:v>170</c:v>
                </c:pt>
                <c:pt idx="2">
                  <c:v>163</c:v>
                </c:pt>
                <c:pt idx="3">
                  <c:v>179</c:v>
                </c:pt>
                <c:pt idx="4">
                  <c:v>173</c:v>
                </c:pt>
                <c:pt idx="5">
                  <c:v>181</c:v>
                </c:pt>
                <c:pt idx="6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4F-4413-80A2-A0468BA19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6821103"/>
        <c:axId val="1166819183"/>
      </c:barChart>
      <c:catAx>
        <c:axId val="116682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66819183"/>
        <c:crosses val="autoZero"/>
        <c:auto val="1"/>
        <c:lblAlgn val="ctr"/>
        <c:lblOffset val="100"/>
        <c:noMultiLvlLbl val="0"/>
      </c:catAx>
      <c:valAx>
        <c:axId val="116681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66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Data Analytics (DecodeLabs).xlsx]Monthly Trends!PivotTable2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Trends'!$B$3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Trends'!$A$4:$A$16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Trends'!$B$4:$B$16</c:f>
              <c:numCache>
                <c:formatCode>_-[$$-409]* #,##0_ ;_-[$$-409]* \-#,##0\ ;_-[$$-409]* "-"??_ ;_-@_ 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A-47DA-996C-1C1314D4BCF4}"/>
            </c:ext>
          </c:extLst>
        </c:ser>
        <c:ser>
          <c:idx val="1"/>
          <c:order val="1"/>
          <c:tx>
            <c:strRef>
              <c:f>'Monthly Trends'!$C$3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Trends'!$A$4:$A$16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Trends'!$C$4:$C$16</c:f>
              <c:numCache>
                <c:formatCode>General</c:formatCode>
                <c:ptCount val="12"/>
                <c:pt idx="0">
                  <c:v>106</c:v>
                </c:pt>
                <c:pt idx="1">
                  <c:v>106</c:v>
                </c:pt>
                <c:pt idx="2">
                  <c:v>128</c:v>
                </c:pt>
                <c:pt idx="3">
                  <c:v>113</c:v>
                </c:pt>
                <c:pt idx="4">
                  <c:v>120</c:v>
                </c:pt>
                <c:pt idx="5">
                  <c:v>147</c:v>
                </c:pt>
                <c:pt idx="6">
                  <c:v>87</c:v>
                </c:pt>
                <c:pt idx="7">
                  <c:v>79</c:v>
                </c:pt>
                <c:pt idx="8">
                  <c:v>73</c:v>
                </c:pt>
                <c:pt idx="9">
                  <c:v>78</c:v>
                </c:pt>
                <c:pt idx="10">
                  <c:v>76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A-47DA-996C-1C1314D4B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726751"/>
        <c:axId val="1193715711"/>
      </c:lineChart>
      <c:catAx>
        <c:axId val="119372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93715711"/>
        <c:crosses val="autoZero"/>
        <c:auto val="1"/>
        <c:lblAlgn val="ctr"/>
        <c:lblOffset val="100"/>
        <c:noMultiLvlLbl val="0"/>
      </c:catAx>
      <c:valAx>
        <c:axId val="11937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9372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'Order Status'!$A$4:$A$8</c:f>
              <c:strCache>
                <c:ptCount val="5"/>
                <c:pt idx="0">
                  <c:v>Delivered</c:v>
                </c:pt>
                <c:pt idx="1">
                  <c:v>Cancelled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Status'!$B$4:$B$8</c:f>
              <c:numCache>
                <c:formatCode>General</c:formatCode>
                <c:ptCount val="5"/>
                <c:pt idx="0">
                  <c:v>231</c:v>
                </c:pt>
                <c:pt idx="1">
                  <c:v>250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4-4DE6-9942-41E8F697AB8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'Order Status'!$A$4:$A$8</c:f>
              <c:strCache>
                <c:ptCount val="5"/>
                <c:pt idx="0">
                  <c:v>Delivered</c:v>
                </c:pt>
                <c:pt idx="1">
                  <c:v>Cancelled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Status'!$C$4:$C$8</c:f>
              <c:numCache>
                <c:formatCode>0.0%</c:formatCode>
                <c:ptCount val="5"/>
                <c:pt idx="0">
                  <c:v>0.1925</c:v>
                </c:pt>
                <c:pt idx="1">
                  <c:v>0.20833333333333334</c:v>
                </c:pt>
                <c:pt idx="2">
                  <c:v>0.19750000000000001</c:v>
                </c:pt>
                <c:pt idx="3">
                  <c:v>0.20583333333333334</c:v>
                </c:pt>
                <c:pt idx="4">
                  <c:v>0.19583333333333333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4-4DE6-9942-41E8F697A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Revenue</a:t>
            </a:r>
            <a:r>
              <a:rPr lang="en-US" sz="1600" b="1" baseline="0"/>
              <a:t> by Referral Source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'Referral Source'!$A$4:$A$8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Source'!$B$4:$B$8</c:f>
              <c:numCache>
                <c:formatCode>_-[$$-409]* #,##0_ ;_-[$$-409]* \-#,##0\ ;_-[$$-409]* "-"??_ ;_-@_ 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8-4BE3-9829-08CD68EA1B9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'Referral Source'!$A$4:$A$8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Source'!$C$4:$C$8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58-4BE3-9829-08CD68EA1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504127"/>
        <c:axId val="1164501727"/>
      </c:barChart>
      <c:catAx>
        <c:axId val="116450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64501727"/>
        <c:crosses val="autoZero"/>
        <c:auto val="1"/>
        <c:lblAlgn val="ctr"/>
        <c:lblOffset val="100"/>
        <c:noMultiLvlLbl val="0"/>
      </c:catAx>
      <c:valAx>
        <c:axId val="116450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6450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1</xdr:row>
      <xdr:rowOff>171450</xdr:rowOff>
    </xdr:from>
    <xdr:to>
      <xdr:col>14</xdr:col>
      <xdr:colOff>22860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3FD70-D59A-FC28-1FD6-11B7536E8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179070</xdr:rowOff>
    </xdr:from>
    <xdr:to>
      <xdr:col>13</xdr:col>
      <xdr:colOff>601980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9D12B-4975-4D30-5DB8-0DA59A254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1</xdr:row>
      <xdr:rowOff>171450</xdr:rowOff>
    </xdr:from>
    <xdr:to>
      <xdr:col>12</xdr:col>
      <xdr:colOff>182880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57E7C-DAEE-CDB9-7DB8-424D7F5CC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2</xdr:row>
      <xdr:rowOff>3810</xdr:rowOff>
    </xdr:from>
    <xdr:to>
      <xdr:col>13</xdr:col>
      <xdr:colOff>22860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8DE81-6DF9-E68F-DD20-51DAC5DE4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som Onyekaba" refreshedDate="46173.669436458331" createdVersion="8" refreshedVersion="8" minRefreshableVersion="3" recordCount="1200" xr:uid="{68E35238-8ECC-4ECD-A083-290811BA62EC}">
  <cacheSource type="worksheet">
    <worksheetSource ref="A1:N1201" sheet="Sheet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x v="1"/>
    <n v="2"/>
    <n v="151.35"/>
    <s v="823 Main St"/>
    <s v="Online (Unspecified)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x v="4"/>
    <n v="4"/>
    <n v="626.01"/>
    <s v="668 Main St"/>
    <s v="Online (Unspecified)"/>
    <s v="Delivered"/>
    <s v="TRK29241424"/>
    <n v="8"/>
    <s v="SAVE10"/>
    <s v="Email"/>
    <n v="2504.04"/>
  </r>
  <r>
    <s v="ORD200005"/>
    <x v="5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x v="9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s v="Online (Unspecified)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x v="16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x v="18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x v="0"/>
    <n v="5"/>
    <n v="224"/>
    <s v="273 Main St"/>
    <s v="Cash"/>
    <s v="Returned"/>
    <s v="TRK59101365"/>
    <n v="9"/>
    <s v="SAVE10"/>
    <s v="Google"/>
    <n v="1120"/>
  </r>
  <r>
    <s v="ORD200020"/>
    <x v="2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x v="22"/>
    <s v="C34416"/>
    <x v="0"/>
    <n v="2"/>
    <n v="49.62"/>
    <s v="633 Main St"/>
    <s v="Online (Unspecified)"/>
    <s v="Pending"/>
    <s v="TRK75937350"/>
    <n v="2"/>
    <s v="SAVE10"/>
    <s v="Google"/>
    <n v="99.24"/>
  </r>
  <r>
    <s v="ORD200023"/>
    <x v="23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s v="Online (Unspecified)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x v="5"/>
    <n v="5"/>
    <n v="59.55"/>
    <s v="296 Main St"/>
    <s v="Online (Unspecified)"/>
    <s v="Delivered"/>
    <s v="TRK80276812"/>
    <n v="6"/>
    <s v="No Coupon"/>
    <s v="Referral"/>
    <n v="297.75"/>
  </r>
  <r>
    <s v="ORD200027"/>
    <x v="27"/>
    <s v="C97593"/>
    <x v="4"/>
    <n v="1"/>
    <n v="472.74"/>
    <s v="881 Main St"/>
    <s v="Online (Unspecified)"/>
    <s v="Shipped"/>
    <s v="TRK89117573"/>
    <n v="6"/>
    <s v="WINTER15"/>
    <s v="Google"/>
    <n v="472.74"/>
  </r>
  <r>
    <s v="ORD200028"/>
    <x v="9"/>
    <s v="C59823"/>
    <x v="1"/>
    <n v="4"/>
    <n v="160.07"/>
    <s v="568 Main St"/>
    <s v="Online (Unspecified)"/>
    <s v="Pending"/>
    <s v="TRK65895539"/>
    <n v="5"/>
    <s v="No Coupon"/>
    <s v="Email"/>
    <n v="640.28"/>
  </r>
  <r>
    <s v="ORD200029"/>
    <x v="28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s v="Online (Unspecified)"/>
    <s v="Pending"/>
    <s v="TRK54751444"/>
    <n v="5"/>
    <s v="SAVE10"/>
    <s v="Referral"/>
    <n v="853.4"/>
  </r>
  <r>
    <s v="ORD200031"/>
    <x v="3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x v="31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x v="32"/>
    <s v="C52184"/>
    <x v="3"/>
    <n v="1"/>
    <n v="162.77000000000001"/>
    <s v="912 Main St"/>
    <s v="Online (Unspecified)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s v="Online (Unspecified)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x v="35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s v="Credit Card"/>
    <s v="Delivered"/>
    <s v="TRK85508960"/>
    <n v="4"/>
    <s v="SAVE10"/>
    <s v="Referral"/>
    <n v="769.38"/>
  </r>
  <r>
    <s v="ORD200040"/>
    <x v="38"/>
    <s v="C84766"/>
    <x v="6"/>
    <n v="2"/>
    <n v="344.02"/>
    <s v="267 Main St"/>
    <s v="Online (Unspecified)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x v="41"/>
    <s v="C60572"/>
    <x v="3"/>
    <n v="3"/>
    <n v="499.21"/>
    <s v="871 Main St"/>
    <s v="Online (Unspecified)"/>
    <s v="Cancelled"/>
    <s v="TRK20351666"/>
    <n v="8"/>
    <s v="No Coupon"/>
    <s v="Instagram"/>
    <n v="1497.63"/>
  </r>
  <r>
    <s v="ORD200044"/>
    <x v="42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x v="47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x v="2"/>
    <n v="1"/>
    <n v="179.22"/>
    <s v="446 Main St"/>
    <s v="Online (Unspecified)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s v="Online (Unspecified)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s v="Online (Unspecified)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s v="Online (Unspecified)"/>
    <s v="Pending"/>
    <s v="TRK11014449"/>
    <n v="5"/>
    <s v="WINTER15"/>
    <s v="Email"/>
    <n v="280.25"/>
  </r>
  <r>
    <s v="ORD200055"/>
    <x v="53"/>
    <s v="C95984"/>
    <x v="4"/>
    <n v="3"/>
    <n v="344.4"/>
    <s v="565 Main St"/>
    <s v="Online (Unspecified)"/>
    <s v="Cancelled"/>
    <s v="TRK67434829"/>
    <n v="3"/>
    <s v="No Coupon"/>
    <s v="Facebook"/>
    <n v="1033.2"/>
  </r>
  <r>
    <s v="ORD200056"/>
    <x v="54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s v="Online (Unspecified)"/>
    <s v="Shipped"/>
    <s v="TRK47055028"/>
    <n v="5"/>
    <s v="No Coupon"/>
    <s v="Facebook"/>
    <n v="2373.08"/>
  </r>
  <r>
    <s v="ORD200060"/>
    <x v="58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x v="64"/>
    <s v="C18104"/>
    <x v="3"/>
    <n v="5"/>
    <n v="127.18"/>
    <s v="715 Main St"/>
    <s v="Cash"/>
    <s v="Cancelled"/>
    <s v="TRK15488568"/>
    <n v="9"/>
    <s v="SAVE10"/>
    <s v="Referral"/>
    <n v="635.9"/>
  </r>
  <r>
    <s v="ORD200067"/>
    <x v="65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x v="66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x v="0"/>
    <n v="3"/>
    <n v="478.65"/>
    <s v="552 Main St"/>
    <s v="Online (Unspecified)"/>
    <s v="Shipped"/>
    <s v="TRK35241775"/>
    <n v="4"/>
    <s v="No Coupon"/>
    <s v="Referral"/>
    <n v="1435.95"/>
  </r>
  <r>
    <s v="ORD200070"/>
    <x v="68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x v="7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x v="71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x v="72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x v="73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x v="76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s v="Online (Unspecified)"/>
    <s v="Shipped"/>
    <s v="TRK13036341"/>
    <n v="2"/>
    <s v="No Coupon"/>
    <s v="Facebook"/>
    <n v="623.82000000000005"/>
  </r>
  <r>
    <s v="ORD200080"/>
    <x v="78"/>
    <s v="C29041"/>
    <x v="1"/>
    <n v="3"/>
    <n v="589.55999999999995"/>
    <s v="591 Main St"/>
    <s v="Online (Unspecified)"/>
    <s v="Returned"/>
    <s v="TRK28840655"/>
    <n v="6"/>
    <s v="No Coupon"/>
    <s v="Facebook"/>
    <n v="1768.68"/>
  </r>
  <r>
    <s v="ORD200081"/>
    <x v="79"/>
    <s v="C29314"/>
    <x v="0"/>
    <n v="2"/>
    <n v="394.3"/>
    <s v="496 Main St"/>
    <s v="Cash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x v="81"/>
    <s v="C64160"/>
    <x v="0"/>
    <n v="2"/>
    <n v="165.49"/>
    <s v="967 Main St"/>
    <s v="Online (Unspecified)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s v="Cash"/>
    <s v="Delivered"/>
    <s v="TRK93538334"/>
    <n v="8"/>
    <s v="FREESHIP"/>
    <s v="Email"/>
    <n v="440.19"/>
  </r>
  <r>
    <s v="ORD200086"/>
    <x v="83"/>
    <s v="C88205"/>
    <x v="4"/>
    <n v="5"/>
    <n v="643.03"/>
    <s v="447 Main St"/>
    <s v="Online (Unspecified)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x v="86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s v="Online (Unspecified)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x v="91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x v="93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x v="94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x v="9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x v="95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s v="Online (Unspecified)"/>
    <s v="Delivered"/>
    <s v="TRK53783265"/>
    <n v="6"/>
    <s v="No Coupon"/>
    <s v="Facebook"/>
    <n v="1994.37"/>
  </r>
  <r>
    <s v="ORD200101"/>
    <x v="97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x v="98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x v="102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s v="Online (Unspecified)"/>
    <s v="Cancelled"/>
    <s v="TRK74904969"/>
    <n v="7"/>
    <s v="FREESHIP"/>
    <s v="Google"/>
    <n v="927.66"/>
  </r>
  <r>
    <s v="ORD200112"/>
    <x v="107"/>
    <s v="C81366"/>
    <x v="0"/>
    <n v="1"/>
    <n v="410.6"/>
    <s v="423 Main St"/>
    <s v="Online (Unspecified)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s v="Cash"/>
    <s v="Shipped"/>
    <s v="TRK73954365"/>
    <n v="9"/>
    <s v="FREESHIP"/>
    <s v="Instagram"/>
    <n v="950.4"/>
  </r>
  <r>
    <s v="ORD200114"/>
    <x v="109"/>
    <s v="C77272"/>
    <x v="0"/>
    <n v="5"/>
    <n v="498.48"/>
    <s v="115 Main St"/>
    <s v="Online (Unspecified)"/>
    <s v="Pending"/>
    <s v="TRK29708128"/>
    <n v="8"/>
    <s v="SAVE10"/>
    <s v="Google"/>
    <n v="2492.4"/>
  </r>
  <r>
    <s v="ORD200115"/>
    <x v="110"/>
    <s v="C32580"/>
    <x v="1"/>
    <n v="5"/>
    <n v="374.99"/>
    <s v="122 Main St"/>
    <s v="Online (Unspecified)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x v="117"/>
    <s v="C86064"/>
    <x v="6"/>
    <n v="3"/>
    <n v="278.04000000000002"/>
    <s v="727 Main St"/>
    <s v="Online (Unspecified)"/>
    <s v="Delivered"/>
    <s v="TRK62182901"/>
    <n v="5"/>
    <s v="No Coupon"/>
    <s v="Instagram"/>
    <n v="834.12"/>
  </r>
  <r>
    <s v="ORD200124"/>
    <x v="118"/>
    <s v="C97148"/>
    <x v="4"/>
    <n v="4"/>
    <n v="283.79000000000002"/>
    <s v="563 Main St"/>
    <s v="Online (Unspecified)"/>
    <s v="Pending"/>
    <s v="TRK85321126"/>
    <n v="8"/>
    <s v="No Coupon"/>
    <s v="Google"/>
    <n v="1135.1600000000001"/>
  </r>
  <r>
    <s v="ORD200125"/>
    <x v="119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x v="96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s v="Online (Unspecified)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x v="125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x v="5"/>
    <n v="2"/>
    <n v="199.7"/>
    <s v="583 Main St"/>
    <s v="Cash"/>
    <s v="Pending"/>
    <s v="TRK17354894"/>
    <n v="4"/>
    <s v="No Coupon"/>
    <s v="Email"/>
    <n v="399.4"/>
  </r>
  <r>
    <s v="ORD200135"/>
    <x v="128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x v="131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x v="133"/>
    <s v="C33110"/>
    <x v="3"/>
    <n v="3"/>
    <n v="528.14"/>
    <s v="388 Main St"/>
    <s v="Online (Unspecified)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s v="Online (Unspecified)"/>
    <s v="Shipped"/>
    <s v="TRK34654244"/>
    <n v="5"/>
    <s v="No Coupon"/>
    <s v="Referral"/>
    <n v="1600.28"/>
  </r>
  <r>
    <s v="ORD200144"/>
    <x v="128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x v="17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x v="138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x v="141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x v="143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s v="Online (Unspecified)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x v="146"/>
    <s v="C62740"/>
    <x v="1"/>
    <n v="1"/>
    <n v="424.4"/>
    <s v="446 Main St"/>
    <s v="Online (Unspecified)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s v="Online (Unspecified)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s v="Online (Unspecified)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x v="151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s v="Online (Unspecified)"/>
    <s v="Pending"/>
    <s v="TRK79854624"/>
    <n v="8"/>
    <s v="WINTER15"/>
    <s v="Google"/>
    <n v="197.58"/>
  </r>
  <r>
    <s v="ORD200163"/>
    <x v="53"/>
    <s v="C99589"/>
    <x v="2"/>
    <n v="1"/>
    <n v="641.39"/>
    <s v="277 Main St"/>
    <s v="Online (Unspecified)"/>
    <s v="Cancelled"/>
    <s v="TRK16695001"/>
    <n v="1"/>
    <s v="No Coupon"/>
    <s v="Referral"/>
    <n v="641.39"/>
  </r>
  <r>
    <s v="ORD200164"/>
    <x v="153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x v="0"/>
    <n v="2"/>
    <n v="500.29"/>
    <s v="226 Main St"/>
    <s v="Online (Unspecified)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s v="Online (Unspecified)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x v="158"/>
    <s v="C35785"/>
    <x v="4"/>
    <n v="1"/>
    <n v="427.82"/>
    <s v="732 Main St"/>
    <s v="Online (Unspecified)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s v="Online (Unspecified)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s v="Online (Unspecified)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x v="166"/>
    <s v="C53070"/>
    <x v="3"/>
    <n v="4"/>
    <n v="512.05999999999995"/>
    <s v="283 Main St"/>
    <s v="Online (Unspecified)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x v="168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x v="169"/>
    <s v="C38966"/>
    <x v="4"/>
    <n v="5"/>
    <n v="404.39"/>
    <s v="247 Main St"/>
    <s v="Online (Unspecified)"/>
    <s v="Shipped"/>
    <s v="TRK17205146"/>
    <n v="10"/>
    <s v="No Coupon"/>
    <s v="Referral"/>
    <n v="2021.95"/>
  </r>
  <r>
    <s v="ORD200182"/>
    <x v="17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x v="61"/>
    <s v="C46877"/>
    <x v="5"/>
    <n v="1"/>
    <n v="210.7"/>
    <s v="572 Main St"/>
    <s v="Online (Unspecified)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s v="Cash"/>
    <s v="Returned"/>
    <s v="TRK79638203"/>
    <n v="3"/>
    <s v="SAVE10"/>
    <s v="Email"/>
    <n v="671.1"/>
  </r>
  <r>
    <s v="ORD200191"/>
    <x v="177"/>
    <s v="C51494"/>
    <x v="5"/>
    <n v="2"/>
    <n v="488.87"/>
    <s v="505 Main St"/>
    <s v="Online (Unspecified)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x v="18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x v="182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x v="1"/>
    <n v="1"/>
    <n v="625"/>
    <s v="358 Main St"/>
    <s v="Online (Unspecified)"/>
    <s v="Returned"/>
    <s v="TRK21114341"/>
    <n v="5"/>
    <s v="WINTER15"/>
    <s v="Google"/>
    <n v="625"/>
  </r>
  <r>
    <s v="ORD200200"/>
    <x v="186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s v="Online (Unspecified)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s v="Credit Card"/>
    <s v="Cancelled"/>
    <s v="TRK52522904"/>
    <n v="3"/>
    <s v="FREESHIP"/>
    <s v="Email"/>
    <n v="761.94"/>
  </r>
  <r>
    <s v="ORD200203"/>
    <x v="94"/>
    <s v="C99173"/>
    <x v="4"/>
    <n v="3"/>
    <n v="356.84"/>
    <s v="172 Main St"/>
    <s v="Online (Unspecified)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x v="162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x v="192"/>
    <s v="C87777"/>
    <x v="6"/>
    <n v="2"/>
    <n v="408.32"/>
    <s v="597 Main St"/>
    <s v="Online (Unspecified)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s v="Cash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s v="Online (Unspecified)"/>
    <s v="Delivered"/>
    <s v="TRK89423603"/>
    <n v="5"/>
    <s v="No Coupon"/>
    <s v="Facebook"/>
    <n v="1222.8800000000001"/>
  </r>
  <r>
    <s v="ORD200215"/>
    <x v="121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s v="Online (Unspecified)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x v="2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x v="3"/>
    <n v="4"/>
    <n v="693.36"/>
    <s v="931 Main St"/>
    <s v="Online (Unspecified)"/>
    <s v="Shipped"/>
    <s v="TRK17293348"/>
    <n v="8"/>
    <s v="No Coupon"/>
    <s v="Instagram"/>
    <n v="2773.44"/>
  </r>
  <r>
    <s v="ORD200223"/>
    <x v="57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s v="Debit Card"/>
    <s v="Returned"/>
    <s v="TRK50246700"/>
    <n v="8"/>
    <s v="SAVE10"/>
    <s v="Google"/>
    <n v="821.88"/>
  </r>
  <r>
    <s v="ORD200226"/>
    <x v="207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x v="208"/>
    <s v="C93220"/>
    <x v="0"/>
    <n v="2"/>
    <n v="365.17"/>
    <s v="353 Main St"/>
    <s v="Online (Unspecified)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x v="21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x v="6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s v="Online (Unspecified)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s v="Online (Unspecified)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s v="Online (Unspecified)"/>
    <s v="Pending"/>
    <s v="TRK44164590"/>
    <n v="6"/>
    <s v="SAVE10"/>
    <s v="Email"/>
    <n v="3078.35"/>
  </r>
  <r>
    <s v="ORD200242"/>
    <x v="221"/>
    <s v="C94921"/>
    <x v="4"/>
    <n v="2"/>
    <n v="219.1"/>
    <s v="134 Main St"/>
    <s v="Online (Unspecified)"/>
    <s v="Pending"/>
    <s v="TRK97794327"/>
    <n v="4"/>
    <s v="SAVE10"/>
    <s v="Referral"/>
    <n v="438.2"/>
  </r>
  <r>
    <s v="ORD200243"/>
    <x v="222"/>
    <s v="C54725"/>
    <x v="3"/>
    <n v="2"/>
    <n v="144.66"/>
    <s v="506 Main St"/>
    <s v="Online (Unspecified)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s v="Online (Unspecified)"/>
    <s v="Returned"/>
    <s v="TRK25390491"/>
    <n v="1"/>
    <s v="No Coupon"/>
    <s v="Facebook"/>
    <n v="223.3"/>
  </r>
  <r>
    <s v="ORD200246"/>
    <x v="225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x v="226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x v="28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s v="Online (Unspecified)"/>
    <s v="Delivered"/>
    <s v="TRK34809583"/>
    <n v="5"/>
    <s v="No Coupon"/>
    <s v="Instagram"/>
    <n v="789.57"/>
  </r>
  <r>
    <s v="ORD200255"/>
    <x v="232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s v="Online (Unspecified)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x v="237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x v="178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s v="Online (Unspecified)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s v="Online (Unspecified)"/>
    <s v="Cancelled"/>
    <s v="TRK91195261"/>
    <n v="7"/>
    <s v="FREESHIP"/>
    <s v="Email"/>
    <n v="476.5"/>
  </r>
  <r>
    <s v="ORD200274"/>
    <x v="246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s v="Online (Unspecified)"/>
    <s v="Pending"/>
    <s v="TRK12425655"/>
    <n v="7"/>
    <s v="WINTER15"/>
    <s v="Email"/>
    <n v="165.03"/>
  </r>
  <r>
    <s v="ORD200280"/>
    <x v="14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x v="251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x v="223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s v="Online (Unspecified)"/>
    <s v="Delivered"/>
    <s v="TRK93281700"/>
    <n v="3"/>
    <s v="No Coupon"/>
    <s v="Google"/>
    <n v="338.31"/>
  </r>
  <r>
    <s v="ORD200286"/>
    <x v="253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s v="Online (Unspecified)"/>
    <s v="Shipped"/>
    <s v="TRK26628830"/>
    <n v="5"/>
    <s v="No Coupon"/>
    <s v="Facebook"/>
    <n v="2620.7199999999998"/>
  </r>
  <r>
    <s v="ORD200288"/>
    <x v="255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x v="223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x v="260"/>
    <s v="C65414"/>
    <x v="1"/>
    <n v="2"/>
    <n v="297.70999999999998"/>
    <s v="208 Main St"/>
    <s v="Online (Unspecified)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s v="Online (Unspecified)"/>
    <s v="Cancelled"/>
    <s v="TRK97825212"/>
    <n v="6"/>
    <s v="No Coupon"/>
    <s v="Email"/>
    <n v="1204.68"/>
  </r>
  <r>
    <s v="ORD200299"/>
    <x v="264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x v="266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s v="Online (Unspecified)"/>
    <s v="Delivered"/>
    <s v="TRK11755610"/>
    <n v="4"/>
    <s v="No Coupon"/>
    <s v="Email"/>
    <n v="1672.23"/>
  </r>
  <r>
    <s v="ORD200308"/>
    <x v="66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s v="Online (Unspecified)"/>
    <s v="Shipped"/>
    <s v="TRK16094218"/>
    <n v="4"/>
    <s v="No Coupon"/>
    <s v="Referral"/>
    <n v="397.44"/>
  </r>
  <r>
    <s v="ORD200311"/>
    <x v="271"/>
    <s v="C71698"/>
    <x v="6"/>
    <n v="5"/>
    <n v="489.37"/>
    <s v="274 Main St"/>
    <s v="Online (Unspecified)"/>
    <s v="Returned"/>
    <s v="TRK34786818"/>
    <n v="8"/>
    <s v="No Coupon"/>
    <s v="Instagram"/>
    <n v="2446.85"/>
  </r>
  <r>
    <s v="ORD200312"/>
    <x v="272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s v="Online (Unspecified)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s v="Online (Unspecified)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s v="Online (Unspecified)"/>
    <s v="Returned"/>
    <s v="TRK22575151"/>
    <n v="5"/>
    <s v="No Coupon"/>
    <s v="Instagram"/>
    <n v="279.89999999999998"/>
  </r>
  <r>
    <s v="ORD200318"/>
    <x v="277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x v="36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x v="282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x v="283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x v="2"/>
    <n v="5"/>
    <n v="674.04"/>
    <s v="546 Main St"/>
    <s v="Online (Unspecified)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x v="287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s v="Online (Unspecified)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s v="Online (Unspecified)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x v="1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x v="294"/>
    <s v="C84563"/>
    <x v="4"/>
    <n v="2"/>
    <n v="236.33"/>
    <s v="398 Main St"/>
    <s v="Online (Unspecified)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x v="296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x v="297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s v="Online (Unspecified)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x v="3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s v="Online (Unspecified)"/>
    <s v="Shipped"/>
    <s v="TRK60127216"/>
    <n v="6"/>
    <s v="No Coupon"/>
    <s v="Instagram"/>
    <n v="108.82"/>
  </r>
  <r>
    <s v="ORD200351"/>
    <x v="302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x v="303"/>
    <s v="C26637"/>
    <x v="3"/>
    <n v="5"/>
    <n v="173.96"/>
    <s v="995 Main St"/>
    <s v="Debit Card"/>
    <s v="Pending"/>
    <s v="TRK59546992"/>
    <n v="8"/>
    <s v="WINTER15"/>
    <s v="Instagram"/>
    <n v="869.8"/>
  </r>
  <r>
    <s v="ORD200353"/>
    <x v="210"/>
    <s v="C16012"/>
    <x v="2"/>
    <n v="1"/>
    <n v="630.82000000000005"/>
    <s v="171 Main St"/>
    <s v="Online (Unspecified)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x v="305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s v="Online (Unspecified)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x v="31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x v="313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x v="7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x v="1"/>
    <n v="1"/>
    <n v="312.11"/>
    <s v="870 Main St"/>
    <s v="Online (Unspecified)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x v="315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s v="Online (Unspecified)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s v="Online (Unspecified)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s v="Online (Unspecified)"/>
    <s v="Shipped"/>
    <s v="TRK85756094"/>
    <n v="6"/>
    <s v="No Coupon"/>
    <s v="Google"/>
    <n v="893.01"/>
  </r>
  <r>
    <s v="ORD200380"/>
    <x v="322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s v="Online (Unspecified)"/>
    <s v="Returned"/>
    <s v="TRK32588504"/>
    <n v="4"/>
    <s v="No Coupon"/>
    <s v="Email"/>
    <n v="93.02"/>
  </r>
  <r>
    <s v="ORD200387"/>
    <x v="326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s v="Online (Unspecified)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x v="176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x v="331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s v="Online (Unspecified)"/>
    <s v="Shipped"/>
    <s v="TRK82004594"/>
    <n v="10"/>
    <s v="SAVE10"/>
    <s v="Email"/>
    <n v="1435.65"/>
  </r>
  <r>
    <s v="ORD200397"/>
    <x v="332"/>
    <s v="C30184"/>
    <x v="0"/>
    <n v="1"/>
    <n v="427.06"/>
    <s v="987 Main St"/>
    <s v="Online (Unspecified)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x v="336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x v="337"/>
    <s v="C28893"/>
    <x v="2"/>
    <n v="1"/>
    <n v="620.21"/>
    <s v="740 Main St"/>
    <s v="Online (Unspecified)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x v="281"/>
    <s v="C97774"/>
    <x v="0"/>
    <n v="4"/>
    <n v="451.97"/>
    <s v="603 Main St"/>
    <s v="Online (Unspecified)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s v="Online (Unspecified)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s v="Online (Unspecified)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x v="83"/>
    <s v="C66567"/>
    <x v="6"/>
    <n v="2"/>
    <n v="39.51"/>
    <s v="981 Main St"/>
    <s v="Online (Unspecified)"/>
    <s v="Shipped"/>
    <s v="TRK21174822"/>
    <n v="5"/>
    <s v="No Coupon"/>
    <s v="Facebook"/>
    <n v="79.02"/>
  </r>
  <r>
    <s v="ORD200412"/>
    <x v="344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x v="345"/>
    <s v="C13923"/>
    <x v="2"/>
    <n v="1"/>
    <n v="118.8"/>
    <s v="123 Main St"/>
    <s v="Online (Unspecified)"/>
    <s v="Delivered"/>
    <s v="TRK87598790"/>
    <n v="6"/>
    <s v="SAVE10"/>
    <s v="Email"/>
    <n v="118.8"/>
  </r>
  <r>
    <s v="ORD200414"/>
    <x v="346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s v="Online (Unspecified)"/>
    <s v="Cancelled"/>
    <s v="TRK51429869"/>
    <n v="5"/>
    <s v="No Coupon"/>
    <s v="Google"/>
    <n v="277.05"/>
  </r>
  <r>
    <s v="ORD200418"/>
    <x v="348"/>
    <s v="C74169"/>
    <x v="4"/>
    <n v="1"/>
    <n v="310.93"/>
    <s v="862 Main St"/>
    <s v="Online (Unspecified)"/>
    <s v="Cancelled"/>
    <s v="TRK66144809"/>
    <n v="3"/>
    <s v="No Coupon"/>
    <s v="Facebook"/>
    <n v="310.93"/>
  </r>
  <r>
    <s v="ORD200419"/>
    <x v="349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x v="32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x v="338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x v="144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s v="Online (Unspecified)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x v="46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x v="156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s v="Online (Unspecified)"/>
    <s v="Pending"/>
    <s v="TRK73545796"/>
    <n v="5"/>
    <s v="No Coupon"/>
    <s v="Google"/>
    <n v="885.32"/>
  </r>
  <r>
    <s v="ORD200437"/>
    <x v="171"/>
    <s v="C63378"/>
    <x v="1"/>
    <n v="1"/>
    <n v="512.39"/>
    <s v="955 Main St"/>
    <s v="Online (Unspecified)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s v="Online (Unspecified)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x v="180"/>
    <s v="C79508"/>
    <x v="4"/>
    <n v="1"/>
    <n v="135.16999999999999"/>
    <s v="585 Main St"/>
    <s v="Online (Unspecified)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s v="Online (Unspecified)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x v="355"/>
    <s v="C16776"/>
    <x v="5"/>
    <n v="2"/>
    <n v="160"/>
    <s v="854 Main St"/>
    <s v="Cash"/>
    <s v="Pending"/>
    <s v="TRK12860600"/>
    <n v="4"/>
    <s v="SAVE10"/>
    <s v="Instagram"/>
    <n v="320"/>
  </r>
  <r>
    <s v="ORD200449"/>
    <x v="360"/>
    <s v="C91518"/>
    <x v="2"/>
    <n v="3"/>
    <n v="253.05"/>
    <s v="286 Main St"/>
    <s v="Online (Unspecified)"/>
    <s v="Pending"/>
    <s v="TRK48688724"/>
    <n v="3"/>
    <s v="No Coupon"/>
    <s v="Instagram"/>
    <n v="759.15"/>
  </r>
  <r>
    <s v="ORD200450"/>
    <x v="361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x v="4"/>
    <n v="1"/>
    <n v="75.78"/>
    <s v="581 Main St"/>
    <s v="Cash"/>
    <s v="Pending"/>
    <s v="TRK20863987"/>
    <n v="5"/>
    <s v="SAVE10"/>
    <s v="Google"/>
    <n v="75.78"/>
  </r>
  <r>
    <s v="ORD200453"/>
    <x v="201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s v="Online (Unspecified)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x v="354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s v="Online (Unspecified)"/>
    <s v="Cancelled"/>
    <s v="TRK32796086"/>
    <n v="1"/>
    <s v="No Coupon"/>
    <s v="Referral"/>
    <n v="252.68"/>
  </r>
  <r>
    <s v="ORD200463"/>
    <x v="68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s v="Online (Unspecified)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x v="202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x v="372"/>
    <s v="C25149"/>
    <x v="2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x v="6"/>
    <n v="5"/>
    <n v="551.27"/>
    <s v="395 Main St"/>
    <s v="Online (Unspecified)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s v="Online (Unspecified)"/>
    <s v="Shipped"/>
    <s v="TRK71597160"/>
    <n v="4"/>
    <s v="No Coupon"/>
    <s v="Facebook"/>
    <n v="29.86"/>
  </r>
  <r>
    <s v="ORD200474"/>
    <x v="375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s v="Online (Unspecified)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s v="Online (Unspecified)"/>
    <s v="Shipped"/>
    <s v="TRK13166044"/>
    <n v="5"/>
    <s v="SAVE10"/>
    <s v="Google"/>
    <n v="507.48"/>
  </r>
  <r>
    <s v="ORD200478"/>
    <x v="377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x v="379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s v="Online (Unspecified)"/>
    <s v="Pending"/>
    <s v="TRK22302049"/>
    <n v="6"/>
    <s v="No Coupon"/>
    <s v="Instagram"/>
    <n v="1144.23"/>
  </r>
  <r>
    <s v="ORD200483"/>
    <x v="381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x v="383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x v="3"/>
    <n v="1"/>
    <n v="36.65"/>
    <s v="556 Main St"/>
    <s v="Online (Unspecified)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s v="Online (Unspecified)"/>
    <s v="Cancelled"/>
    <s v="TRK62785150"/>
    <n v="10"/>
    <s v="No Coupon"/>
    <s v="Facebook"/>
    <n v="2339.0500000000002"/>
  </r>
  <r>
    <s v="ORD200491"/>
    <x v="314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s v="Online (Unspecified)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x v="219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x v="2"/>
    <n v="3"/>
    <n v="136.84"/>
    <s v="498 Main St"/>
    <s v="Online (Unspecified)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s v="Online (Unspecified)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s v="Online (Unspecified)"/>
    <s v="Shipped"/>
    <s v="TRK97246526"/>
    <n v="7"/>
    <s v="No Coupon"/>
    <s v="Email"/>
    <n v="869.94"/>
  </r>
  <r>
    <s v="ORD200506"/>
    <x v="284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x v="1"/>
    <n v="1"/>
    <n v="558.27"/>
    <s v="976 Main St"/>
    <s v="Online (Unspecified)"/>
    <s v="Delivered"/>
    <s v="TRK24120267"/>
    <n v="1"/>
    <s v="No Coupon"/>
    <s v="Referral"/>
    <n v="558.27"/>
  </r>
  <r>
    <s v="ORD200509"/>
    <x v="392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s v="Online (Unspecified)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x v="397"/>
    <s v="C15629"/>
    <x v="4"/>
    <n v="3"/>
    <n v="304.14999999999998"/>
    <s v="492 Main St"/>
    <s v="Gift Card"/>
    <s v="Shipped"/>
    <s v="TRK64926044"/>
    <n v="3"/>
    <s v="WINTER15"/>
    <s v="Instagram"/>
    <n v="912.45"/>
  </r>
  <r>
    <s v="ORD200515"/>
    <x v="369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x v="398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s v="Online (Unspecified)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x v="402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x v="322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x v="404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x v="6"/>
    <n v="2"/>
    <n v="46.5"/>
    <s v="837 Main St"/>
    <s v="Cash"/>
    <s v="Returned"/>
    <s v="TRK63526023"/>
    <n v="7"/>
    <s v="WINTER15"/>
    <s v="Google"/>
    <n v="93"/>
  </r>
  <r>
    <s v="ORD200527"/>
    <x v="406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x v="3"/>
    <n v="4"/>
    <n v="89.41"/>
    <s v="613 Main St"/>
    <s v="Online (Unspecified)"/>
    <s v="Pending"/>
    <s v="TRK14809530"/>
    <n v="9"/>
    <s v="No Coupon"/>
    <s v="Google"/>
    <n v="357.64"/>
  </r>
  <r>
    <s v="ORD200531"/>
    <x v="367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x v="120"/>
    <s v="C47365"/>
    <x v="5"/>
    <n v="2"/>
    <n v="41"/>
    <s v="369 Main St"/>
    <s v="Online (Unspecified)"/>
    <s v="Delivered"/>
    <s v="TRK42207882"/>
    <n v="7"/>
    <s v="No Coupon"/>
    <s v="Email"/>
    <n v="82"/>
  </r>
  <r>
    <s v="ORD200533"/>
    <x v="409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x v="0"/>
    <n v="3"/>
    <n v="68.12"/>
    <s v="332 Main St"/>
    <s v="Online (Unspecified)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x v="411"/>
    <s v="C68553"/>
    <x v="2"/>
    <n v="3"/>
    <n v="247.47"/>
    <s v="385 Main St"/>
    <s v="Online (Unspecified)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s v="Online (Unspecified)"/>
    <s v="Pending"/>
    <s v="TRK81765057"/>
    <n v="7"/>
    <s v="No Coupon"/>
    <s v="Referral"/>
    <n v="3243.25"/>
  </r>
  <r>
    <s v="ORD200541"/>
    <x v="413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x v="414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x v="417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s v="Online (Unspecified)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s v="Online (Unspecified)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s v="Online (Unspecified)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x v="423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s v="Online (Unspecified)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x v="425"/>
    <s v="C96822"/>
    <x v="4"/>
    <n v="2"/>
    <n v="494.78"/>
    <s v="198 Main St"/>
    <s v="Online (Unspecified)"/>
    <s v="Shipped"/>
    <s v="TRK89180077"/>
    <n v="2"/>
    <s v="No Coupon"/>
    <s v="Google"/>
    <n v="989.56"/>
  </r>
  <r>
    <s v="ORD200562"/>
    <x v="426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s v="Online (Unspecified)"/>
    <s v="Pending"/>
    <s v="TRK42605492"/>
    <n v="10"/>
    <s v="No Coupon"/>
    <s v="Facebook"/>
    <n v="1539.9"/>
  </r>
  <r>
    <s v="ORD200566"/>
    <x v="171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s v="Online (Unspecified)"/>
    <s v="Delivered"/>
    <s v="TRK72334047"/>
    <n v="4"/>
    <s v="No Coupon"/>
    <s v="Google"/>
    <n v="687.98"/>
  </r>
  <r>
    <s v="ORD200569"/>
    <x v="29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x v="434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x v="55"/>
    <s v="C77046"/>
    <x v="2"/>
    <n v="4"/>
    <n v="185.41"/>
    <s v="967 Main St"/>
    <s v="Online (Unspecified)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s v="Online (Unspecified)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s v="Online (Unspecified)"/>
    <s v="Delivered"/>
    <s v="TRK87158684"/>
    <n v="1"/>
    <s v="No Coupon"/>
    <s v="Referral"/>
    <n v="627.34"/>
  </r>
  <r>
    <s v="ORD200582"/>
    <x v="436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x v="438"/>
    <s v="C15257"/>
    <x v="3"/>
    <n v="4"/>
    <n v="145.05000000000001"/>
    <s v="626 Main St"/>
    <s v="Online (Unspecified)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x v="441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x v="249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s v="Online (Unspecified)"/>
    <s v="Returned"/>
    <s v="TRK15499648"/>
    <n v="4"/>
    <s v="No Coupon"/>
    <s v="Google"/>
    <n v="612.80999999999995"/>
  </r>
  <r>
    <s v="ORD200593"/>
    <x v="443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x v="445"/>
    <s v="C72596"/>
    <x v="4"/>
    <n v="2"/>
    <n v="385.16"/>
    <s v="491 Main St"/>
    <s v="Online (Unspecified)"/>
    <s v="Pending"/>
    <s v="TRK83870446"/>
    <n v="7"/>
    <s v="SAVE10"/>
    <s v="Email"/>
    <n v="770.32"/>
  </r>
  <r>
    <s v="ORD200596"/>
    <x v="439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x v="30"/>
    <s v="C28740"/>
    <x v="3"/>
    <n v="3"/>
    <n v="556.99"/>
    <s v="123 Main St"/>
    <s v="Online (Unspecified)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x v="448"/>
    <s v="C35852"/>
    <x v="2"/>
    <n v="4"/>
    <n v="26.04"/>
    <s v="982 Main St"/>
    <s v="Online (Unspecified)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s v="Debit Card"/>
    <s v="Delivered"/>
    <s v="TRK81368481"/>
    <n v="6"/>
    <s v="No Coupon"/>
    <s v="Facebook"/>
    <n v="97.86"/>
  </r>
  <r>
    <s v="ORD200605"/>
    <x v="451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s v="Online (Unspecified)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x v="36"/>
    <s v="C62405"/>
    <x v="5"/>
    <n v="2"/>
    <n v="230.36"/>
    <s v="154 Main St"/>
    <s v="Online (Unspecified)"/>
    <s v="Returned"/>
    <s v="TRK14721763"/>
    <n v="4"/>
    <s v="WINTER15"/>
    <s v="Email"/>
    <n v="460.72"/>
  </r>
  <r>
    <s v="ORD200614"/>
    <x v="455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x v="456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s v="Online (Unspecified)"/>
    <s v="Cancelled"/>
    <s v="TRK75469057"/>
    <n v="4"/>
    <s v="No Coupon"/>
    <s v="Referral"/>
    <n v="553.41"/>
  </r>
  <r>
    <s v="ORD200618"/>
    <x v="459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x v="424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x v="46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x v="379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x v="463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x v="2"/>
    <n v="2"/>
    <n v="657.48"/>
    <s v="769 Main St"/>
    <s v="Online (Unspecified)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s v="Online (Unspecified)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s v="Online (Unspecified)"/>
    <s v="Pending"/>
    <s v="TRK91836131"/>
    <n v="3"/>
    <s v="No Coupon"/>
    <s v="Referral"/>
    <n v="59.19"/>
  </r>
  <r>
    <s v="ORD200630"/>
    <x v="467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x v="169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x v="469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s v="Online (Unspecified)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x v="2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s v="Online (Unspecified)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x v="477"/>
    <s v="C71473"/>
    <x v="3"/>
    <n v="5"/>
    <n v="341.84"/>
    <s v="328 Main St"/>
    <s v="Online (Unspecified)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x v="369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x v="116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x v="468"/>
    <s v="C83653"/>
    <x v="2"/>
    <n v="4"/>
    <n v="231.26"/>
    <s v="253 Main St"/>
    <s v="Online (Unspecified)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x v="71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x v="171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x v="127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s v="Online (Unspecified)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s v="Online (Unspecified)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x v="489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x v="363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x v="492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s v="Online (Unspecified)"/>
    <s v="Shipped"/>
    <s v="TRK56967415"/>
    <n v="7"/>
    <s v="No Coupon"/>
    <s v="Facebook"/>
    <n v="889.68"/>
  </r>
  <r>
    <s v="ORD200690"/>
    <x v="494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x v="167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x v="19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x v="276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x v="4"/>
    <n v="5"/>
    <n v="101.3"/>
    <s v="553 Main St"/>
    <s v="Online (Unspecified)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s v="Cash"/>
    <s v="Shipped"/>
    <s v="TRK45025840"/>
    <n v="6"/>
    <s v="WINTER15"/>
    <s v="Email"/>
    <n v="474.25"/>
  </r>
  <r>
    <s v="ORD200698"/>
    <x v="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x v="498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x v="5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x v="6"/>
    <n v="4"/>
    <n v="30.27"/>
    <s v="819 Main St"/>
    <s v="Online (Unspecified)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s v="Online (Unspecified)"/>
    <s v="Pending"/>
    <s v="TRK37504692"/>
    <n v="4"/>
    <s v="FREESHIP"/>
    <s v="Google"/>
    <n v="386.03"/>
  </r>
  <r>
    <s v="ORD200710"/>
    <x v="319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x v="502"/>
    <s v="C61070"/>
    <x v="2"/>
    <n v="2"/>
    <n v="475.78"/>
    <s v="632 Main St"/>
    <s v="Online (Unspecified)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s v="Online (Unspecified)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s v="Online (Unspecified)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s v="Online (Unspecified)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x v="64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x v="510"/>
    <s v="C18105"/>
    <x v="5"/>
    <n v="4"/>
    <n v="583.02"/>
    <s v="338 Main St"/>
    <s v="Online (Unspecified)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s v="Online (Unspecified)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x v="456"/>
    <s v="C80987"/>
    <x v="5"/>
    <n v="1"/>
    <n v="132.05000000000001"/>
    <s v="787 Main St"/>
    <s v="Online (Unspecified)"/>
    <s v="Delivered"/>
    <s v="TRK42187776"/>
    <n v="2"/>
    <s v="No Coupon"/>
    <s v="Google"/>
    <n v="132.05000000000001"/>
  </r>
  <r>
    <s v="ORD200733"/>
    <x v="513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x v="516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x v="185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x v="519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x v="6"/>
    <n v="3"/>
    <n v="661.89"/>
    <s v="551 Main St"/>
    <s v="Online (Unspecified)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x v="326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x v="27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x v="454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x v="529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s v="Online (Unspecified)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x v="355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x v="530"/>
    <s v="C72166"/>
    <x v="6"/>
    <n v="1"/>
    <n v="314.38"/>
    <s v="227 Main St"/>
    <s v="Online (Unspecified)"/>
    <s v="Returned"/>
    <s v="TRK67733444"/>
    <n v="6"/>
    <s v="No Coupon"/>
    <s v="Google"/>
    <n v="314.38"/>
  </r>
  <r>
    <s v="ORD200771"/>
    <x v="52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s v="Online (Unspecified)"/>
    <s v="Delivered"/>
    <s v="TRK25799478"/>
    <n v="4"/>
    <s v="No Coupon"/>
    <s v="Instagram"/>
    <n v="604.87"/>
  </r>
  <r>
    <s v="ORD200773"/>
    <x v="164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x v="198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s v="Online (Unspecified)"/>
    <s v="Cancelled"/>
    <s v="TRK22051900"/>
    <n v="5"/>
    <s v="No Coupon"/>
    <s v="Google"/>
    <n v="1250.44"/>
  </r>
  <r>
    <s v="ORD200776"/>
    <x v="531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s v="Online (Unspecified)"/>
    <s v="Cancelled"/>
    <s v="TRK41967983"/>
    <n v="7"/>
    <s v="No Coupon"/>
    <s v="Facebook"/>
    <n v="322.45"/>
  </r>
  <r>
    <s v="ORD200778"/>
    <x v="2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x v="5"/>
    <n v="4"/>
    <n v="184.48"/>
    <s v="661 Main St"/>
    <s v="Online (Unspecified)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s v="Online (Unspecified)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x v="3"/>
    <n v="5"/>
    <n v="45.31"/>
    <s v="774 Main St"/>
    <s v="Online (Unspecified)"/>
    <s v="Cancelled"/>
    <s v="TRK99583414"/>
    <n v="8"/>
    <s v="No Coupon"/>
    <s v="Referral"/>
    <n v="226.55"/>
  </r>
  <r>
    <s v="ORD200787"/>
    <x v="537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x v="208"/>
    <s v="C47307"/>
    <x v="3"/>
    <n v="2"/>
    <n v="601.42999999999995"/>
    <s v="761 Main St"/>
    <s v="Online (Unspecified)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s v="Online (Unspecified)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x v="539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x v="379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x v="338"/>
    <s v="C76653"/>
    <x v="4"/>
    <n v="4"/>
    <n v="384.85"/>
    <s v="988 Main St"/>
    <s v="Online (Unspecified)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s v="Online (Unspecified)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x v="542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s v="Online (Unspecified)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s v="Online (Unspecified)"/>
    <s v="Delivered"/>
    <s v="TRK11868618"/>
    <n v="8"/>
    <s v="FREESHIP"/>
    <s v="Email"/>
    <n v="709.5"/>
  </r>
  <r>
    <s v="ORD200805"/>
    <x v="12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s v="Online (Unspecified)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s v="Online (Unspecified)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x v="398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x v="212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s v="Online (Unspecified)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s v="Online (Unspecified)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x v="4"/>
    <n v="2"/>
    <n v="88.73"/>
    <s v="140 Main St"/>
    <s v="Online (Unspecified)"/>
    <s v="Pending"/>
    <s v="TRK61346824"/>
    <n v="5"/>
    <s v="No Coupon"/>
    <s v="Google"/>
    <n v="177.46"/>
  </r>
  <r>
    <s v="ORD200832"/>
    <x v="553"/>
    <s v="C63372"/>
    <x v="3"/>
    <n v="5"/>
    <n v="485.71"/>
    <s v="903 Main St"/>
    <s v="Online (Unspecified)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x v="29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s v="Online (Unspecified)"/>
    <s v="Delivered"/>
    <s v="TRK59701278"/>
    <n v="5"/>
    <s v="No Coupon"/>
    <s v="Email"/>
    <n v="3277.75"/>
  </r>
  <r>
    <s v="ORD200838"/>
    <x v="166"/>
    <s v="C57798"/>
    <x v="6"/>
    <n v="4"/>
    <n v="577.08000000000004"/>
    <s v="384 Main St"/>
    <s v="Online (Unspecified)"/>
    <s v="Pending"/>
    <s v="TRK68797566"/>
    <n v="8"/>
    <s v="No Coupon"/>
    <s v="Facebook"/>
    <n v="2308.3200000000002"/>
  </r>
  <r>
    <s v="ORD200839"/>
    <x v="318"/>
    <s v="C82858"/>
    <x v="3"/>
    <n v="3"/>
    <n v="197.97"/>
    <s v="551 Main St"/>
    <s v="Online (Unspecified)"/>
    <s v="Cancelled"/>
    <s v="TRK90618490"/>
    <n v="5"/>
    <s v="No Coupon"/>
    <s v="Google"/>
    <n v="593.91"/>
  </r>
  <r>
    <s v="ORD200840"/>
    <x v="555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x v="106"/>
    <s v="C78305"/>
    <x v="5"/>
    <n v="3"/>
    <n v="364.14"/>
    <s v="396 Main St"/>
    <s v="Online (Unspecified)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s v="Online (Unspecified)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x v="249"/>
    <s v="C48176"/>
    <x v="4"/>
    <n v="4"/>
    <n v="434.23"/>
    <s v="670 Main St"/>
    <s v="Online (Unspecified)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s v="Online (Unspecified)"/>
    <s v="Shipped"/>
    <s v="TRK18049633"/>
    <n v="5"/>
    <s v="No Coupon"/>
    <s v="Referral"/>
    <n v="1291.7"/>
  </r>
  <r>
    <s v="ORD200849"/>
    <x v="559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s v="Online (Unspecified)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x v="416"/>
    <s v="C56506"/>
    <x v="1"/>
    <n v="3"/>
    <n v="257.83999999999997"/>
    <s v="185 Main St"/>
    <s v="Online (Unspecified)"/>
    <s v="Delivered"/>
    <s v="TRK86808324"/>
    <n v="4"/>
    <s v="No Coupon"/>
    <s v="Instagram"/>
    <n v="773.52"/>
  </r>
  <r>
    <s v="ORD200858"/>
    <x v="38"/>
    <s v="C22167"/>
    <x v="2"/>
    <n v="5"/>
    <n v="435.66"/>
    <s v="891 Main St"/>
    <s v="Online (Unspecified)"/>
    <s v="Pending"/>
    <s v="TRK70269748"/>
    <n v="9"/>
    <s v="No Coupon"/>
    <s v="Facebook"/>
    <n v="2178.3000000000002"/>
  </r>
  <r>
    <s v="ORD200859"/>
    <x v="562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x v="537"/>
    <s v="C29905"/>
    <x v="6"/>
    <n v="2"/>
    <n v="533.95000000000005"/>
    <s v="790 Main St"/>
    <s v="Online (Unspecified)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s v="Debit Card"/>
    <s v="Pending"/>
    <s v="TRK22024707"/>
    <n v="8"/>
    <s v="FREESHIP"/>
    <s v="Email"/>
    <n v="972.9"/>
  </r>
  <r>
    <s v="ORD200872"/>
    <x v="566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x v="258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s v="Credit Card"/>
    <s v="Delivered"/>
    <s v="TRK66473392"/>
    <n v="6"/>
    <s v="FREESHIP"/>
    <s v="Referral"/>
    <n v="666.95"/>
  </r>
  <r>
    <s v="ORD200876"/>
    <x v="41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s v="Online (Unspecified)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x v="495"/>
    <s v="C85074"/>
    <x v="5"/>
    <n v="4"/>
    <n v="233.7"/>
    <s v="506 Main St"/>
    <s v="Online (Unspecified)"/>
    <s v="Shipped"/>
    <s v="TRK63133878"/>
    <n v="8"/>
    <s v="SAVE10"/>
    <s v="Facebook"/>
    <n v="934.8"/>
  </r>
  <r>
    <s v="ORD200881"/>
    <x v="57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x v="164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s v="Online (Unspecified)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x v="158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x v="36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x v="572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x v="245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x v="433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s v="Online (Unspecified)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x v="577"/>
    <s v="C99904"/>
    <x v="4"/>
    <n v="2"/>
    <n v="323.37"/>
    <s v="552 Main St"/>
    <s v="Online (Unspecified)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x v="578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x v="209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x v="58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x v="548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s v="Online (Unspecified)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x v="588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s v="Online (Unspecified)"/>
    <s v="Delivered"/>
    <s v="TRK18250450"/>
    <n v="5"/>
    <s v="No Coupon"/>
    <s v="Instagram"/>
    <n v="1841.25"/>
  </r>
  <r>
    <s v="ORD200919"/>
    <x v="492"/>
    <s v="C92086"/>
    <x v="4"/>
    <n v="2"/>
    <n v="374.6"/>
    <s v="187 Main St"/>
    <s v="Online (Unspecified)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x v="528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x v="91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x v="0"/>
    <n v="5"/>
    <n v="502.47"/>
    <s v="304 Main St"/>
    <s v="Online (Unspecified)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x v="393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s v="Online (Unspecified)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s v="Online (Unspecified)"/>
    <s v="Shipped"/>
    <s v="TRK43718093"/>
    <n v="2"/>
    <s v="No Coupon"/>
    <s v="Referral"/>
    <n v="788.32"/>
  </r>
  <r>
    <s v="ORD200934"/>
    <x v="565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s v="Online (Unspecified)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s v="Credit Card"/>
    <s v="Cancelled"/>
    <s v="TRK91155214"/>
    <n v="6"/>
    <s v="WINTER15"/>
    <s v="Referral"/>
    <n v="994.38"/>
  </r>
  <r>
    <s v="ORD200939"/>
    <x v="597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s v="Online (Unspecified)"/>
    <s v="Cancelled"/>
    <s v="TRK91525779"/>
    <n v="4"/>
    <s v="SAVE10"/>
    <s v="Google"/>
    <n v="1221.28"/>
  </r>
  <r>
    <s v="ORD200941"/>
    <x v="15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x v="14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s v="Online (Unspecified)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x v="1"/>
    <n v="4"/>
    <n v="465.66"/>
    <s v="119 Main St"/>
    <s v="Online (Unspecified)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x v="576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x v="583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s v="Online (Unspecified)"/>
    <s v="Returned"/>
    <s v="TRK39845914"/>
    <n v="4"/>
    <s v="FREESHIP"/>
    <s v="Email"/>
    <n v="612.48"/>
  </r>
  <r>
    <s v="ORD200952"/>
    <x v="37"/>
    <s v="C49111"/>
    <x v="0"/>
    <n v="3"/>
    <n v="503.39"/>
    <s v="225 Main St"/>
    <s v="Online (Unspecified)"/>
    <s v="Pending"/>
    <s v="TRK45303393"/>
    <n v="5"/>
    <s v="No Coupon"/>
    <s v="Facebook"/>
    <n v="1510.17"/>
  </r>
  <r>
    <s v="ORD200953"/>
    <x v="6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s v="Online (Unspecified)"/>
    <s v="Shipped"/>
    <s v="TRK81178598"/>
    <n v="1"/>
    <s v="No Coupon"/>
    <s v="Facebook"/>
    <n v="601.36"/>
  </r>
  <r>
    <s v="ORD200962"/>
    <x v="605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s v="Online (Unspecified)"/>
    <s v="Shipped"/>
    <s v="TRK42832976"/>
    <n v="9"/>
    <s v="FREESHIP"/>
    <s v="Google"/>
    <n v="2651.7"/>
  </r>
  <r>
    <s v="ORD200964"/>
    <x v="38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s v="Online (Unspecified)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x v="419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x v="546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x v="6"/>
    <n v="5"/>
    <n v="127.18"/>
    <s v="598 Main St"/>
    <s v="Debit Card"/>
    <s v="Cancelled"/>
    <s v="TRK68938335"/>
    <n v="10"/>
    <s v="FREESHIP"/>
    <s v="Google"/>
    <n v="635.9"/>
  </r>
  <r>
    <s v="ORD200992"/>
    <x v="615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s v="Gift Card"/>
    <s v="Delivered"/>
    <s v="TRK33323210"/>
    <n v="5"/>
    <s v="WINTER15"/>
    <s v="Instagram"/>
    <n v="802.35"/>
  </r>
  <r>
    <s v="ORD200994"/>
    <x v="326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s v="Online (Unspecified)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x v="619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x v="3"/>
    <n v="4"/>
    <n v="246.91"/>
    <s v="296 Main St"/>
    <s v="Online (Unspecified)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x v="582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s v="Online (Unspecified)"/>
    <s v="Shipped"/>
    <s v="TRK22271097"/>
    <n v="3"/>
    <s v="No Coupon"/>
    <s v="Google"/>
    <n v="956.72"/>
  </r>
  <r>
    <s v="ORD201012"/>
    <x v="623"/>
    <s v="C84570"/>
    <x v="4"/>
    <n v="4"/>
    <n v="30.05"/>
    <s v="301 Main St"/>
    <s v="Online (Unspecified)"/>
    <s v="Returned"/>
    <s v="TRK12551882"/>
    <n v="6"/>
    <s v="No Coupon"/>
    <s v="Facebook"/>
    <n v="120.2"/>
  </r>
  <r>
    <s v="ORD201013"/>
    <x v="624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s v="Online (Unspecified)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s v="Cash"/>
    <s v="Delivered"/>
    <s v="TRK20703086"/>
    <n v="3"/>
    <s v="No Coupon"/>
    <s v="Instagram"/>
    <n v="547.44000000000005"/>
  </r>
  <r>
    <s v="ORD201019"/>
    <x v="616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s v="Online (Unspecified)"/>
    <s v="Delivered"/>
    <s v="TRK47787981"/>
    <n v="3"/>
    <s v="SAVE10"/>
    <s v="Instagram"/>
    <n v="53"/>
  </r>
  <r>
    <s v="ORD201021"/>
    <x v="5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x v="412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s v="Online (Unspecified)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x v="96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x v="627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s v="Online (Unspecified)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x v="583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x v="164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x v="45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x v="550"/>
    <s v="C85421"/>
    <x v="2"/>
    <n v="3"/>
    <n v="547.15"/>
    <s v="466 Main St"/>
    <s v="Online (Unspecified)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x v="408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x v="38"/>
    <s v="C70659"/>
    <x v="5"/>
    <n v="5"/>
    <n v="69.7"/>
    <s v="722 Main St"/>
    <s v="Online (Unspecified)"/>
    <s v="Returned"/>
    <s v="TRK49663597"/>
    <n v="9"/>
    <s v="No Coupon"/>
    <s v="Instagram"/>
    <n v="348.5"/>
  </r>
  <r>
    <s v="ORD201051"/>
    <x v="376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s v="Online (Unspecified)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s v="Online (Unspecified)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s v="Online (Unspecified)"/>
    <s v="Pending"/>
    <s v="TRK49382455"/>
    <n v="6"/>
    <s v="SAVE10"/>
    <s v="Referral"/>
    <n v="972.7"/>
  </r>
  <r>
    <s v="ORD201057"/>
    <x v="634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x v="83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s v="Online (Unspecified)"/>
    <s v="Returned"/>
    <s v="TRK37426359"/>
    <n v="2"/>
    <s v="No Coupon"/>
    <s v="Instagram"/>
    <n v="632.4"/>
  </r>
  <r>
    <s v="ORD201068"/>
    <x v="24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x v="605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x v="53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x v="297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x v="451"/>
    <s v="C21437"/>
    <x v="1"/>
    <n v="1"/>
    <n v="222.73"/>
    <s v="120 Main St"/>
    <s v="Online (Unspecified)"/>
    <s v="Returned"/>
    <s v="TRK81624772"/>
    <n v="4"/>
    <s v="No Coupon"/>
    <s v="Google"/>
    <n v="222.73"/>
  </r>
  <r>
    <s v="ORD201075"/>
    <x v="169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x v="456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s v="Online (Unspecified)"/>
    <s v="Returned"/>
    <s v="TRK90060232"/>
    <n v="4"/>
    <s v="WINTER15"/>
    <s v="Email"/>
    <n v="41.09"/>
  </r>
  <r>
    <s v="ORD201079"/>
    <x v="643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x v="325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x v="453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s v="Online (Unspecified)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s v="Online (Unspecified)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x v="641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x v="192"/>
    <s v="C16400"/>
    <x v="5"/>
    <n v="3"/>
    <n v="209.48"/>
    <s v="123 Main St"/>
    <s v="Debit Card"/>
    <s v="Pending"/>
    <s v="TRK57771859"/>
    <n v="4"/>
    <s v="No Coupon"/>
    <s v="Email"/>
    <n v="628.44000000000005"/>
  </r>
  <r>
    <s v="ORD201092"/>
    <x v="531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s v="Online (Unspecified)"/>
    <s v="Delivered"/>
    <s v="TRK92929755"/>
    <n v="2"/>
    <s v="SAVE10"/>
    <s v="Email"/>
    <n v="883.08"/>
  </r>
  <r>
    <s v="ORD201096"/>
    <x v="12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x v="645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x v="556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x v="648"/>
    <s v="C90292"/>
    <x v="5"/>
    <n v="4"/>
    <n v="276.32"/>
    <s v="129 Main St"/>
    <s v="Online (Unspecified)"/>
    <s v="Delivered"/>
    <s v="TRK26270357"/>
    <n v="5"/>
    <s v="No Coupon"/>
    <s v="Google"/>
    <n v="1105.28"/>
  </r>
  <r>
    <s v="ORD201104"/>
    <x v="568"/>
    <s v="C17075"/>
    <x v="2"/>
    <n v="4"/>
    <n v="314.76"/>
    <s v="850 Main St"/>
    <s v="Online (Unspecified)"/>
    <s v="Shipped"/>
    <s v="TRK63547510"/>
    <n v="8"/>
    <s v="No Coupon"/>
    <s v="Instagram"/>
    <n v="1259.04"/>
  </r>
  <r>
    <s v="ORD201105"/>
    <x v="649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s v="Online (Unspecified)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s v="Online (Unspecified)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x v="0"/>
    <n v="4"/>
    <n v="234.45"/>
    <s v="362 Main St"/>
    <s v="Online (Unspecified)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s v="Online (Unspecified)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x v="653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x v="126"/>
    <s v="C70426"/>
    <x v="5"/>
    <n v="2"/>
    <n v="336.32"/>
    <s v="562 Main St"/>
    <s v="Online (Unspecified)"/>
    <s v="Returned"/>
    <s v="TRK89687816"/>
    <n v="3"/>
    <s v="No Coupon"/>
    <s v="Google"/>
    <n v="672.64"/>
  </r>
  <r>
    <s v="ORD201116"/>
    <x v="612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s v="Credit Card"/>
    <s v="Returned"/>
    <s v="TRK99102265"/>
    <n v="4"/>
    <s v="No Coupon"/>
    <s v="Email"/>
    <n v="754.44"/>
  </r>
  <r>
    <s v="ORD201119"/>
    <x v="167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s v="Online (Unspecified)"/>
    <s v="Pending"/>
    <s v="TRK82416295"/>
    <n v="3"/>
    <s v="No Coupon"/>
    <s v="Facebook"/>
    <n v="195.86"/>
  </r>
  <r>
    <s v="ORD201121"/>
    <x v="654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s v="Online (Unspecified)"/>
    <s v="Returned"/>
    <s v="TRK32496970"/>
    <n v="8"/>
    <s v="No Coupon"/>
    <s v="Facebook"/>
    <n v="3390.95"/>
  </r>
  <r>
    <s v="ORD201123"/>
    <x v="655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x v="504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s v="Cash"/>
    <s v="Delivered"/>
    <s v="TRK36195559"/>
    <n v="7"/>
    <s v="SAVE10"/>
    <s v="Google"/>
    <n v="950.55"/>
  </r>
  <r>
    <s v="ORD201127"/>
    <x v="175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s v="Online (Unspecified)"/>
    <s v="Shipped"/>
    <s v="TRK97793275"/>
    <n v="2"/>
    <s v="SAVE10"/>
    <s v="Google"/>
    <n v="146.82"/>
  </r>
  <r>
    <s v="ORD201136"/>
    <x v="463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x v="627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x v="656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x v="1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x v="659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x v="223"/>
    <s v="C88463"/>
    <x v="6"/>
    <n v="5"/>
    <n v="507.94"/>
    <s v="292 Main St"/>
    <s v="Online (Unspecified)"/>
    <s v="Cancelled"/>
    <s v="TRK88749996"/>
    <n v="9"/>
    <s v="No Coupon"/>
    <s v="Facebook"/>
    <n v="2539.6999999999998"/>
  </r>
  <r>
    <s v="ORD201145"/>
    <x v="275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s v="Online (Unspecified)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x v="576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x v="393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x v="113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x v="382"/>
    <s v="C25841"/>
    <x v="0"/>
    <n v="3"/>
    <n v="301.55"/>
    <s v="242 Main St"/>
    <s v="Debit Card"/>
    <s v="Delivered"/>
    <s v="TRK21451375"/>
    <n v="5"/>
    <s v="FREESHIP"/>
    <s v="Google"/>
    <n v="904.65"/>
  </r>
  <r>
    <s v="ORD201158"/>
    <x v="197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x v="333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s v="Credit Card"/>
    <s v="Returned"/>
    <s v="TRK19477485"/>
    <n v="7"/>
    <s v="WINTER15"/>
    <s v="Instagram"/>
    <n v="918.87"/>
  </r>
  <r>
    <s v="ORD201164"/>
    <x v="649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x v="48"/>
    <s v="C95568"/>
    <x v="3"/>
    <n v="3"/>
    <n v="324.47000000000003"/>
    <s v="971 Main St"/>
    <s v="Cash"/>
    <s v="Delivered"/>
    <s v="TRK37075292"/>
    <n v="4"/>
    <s v="WINTER15"/>
    <s v="Email"/>
    <n v="973.41"/>
  </r>
  <r>
    <s v="ORD201167"/>
    <x v="661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x v="449"/>
    <s v="C82921"/>
    <x v="0"/>
    <n v="1"/>
    <n v="208.36"/>
    <s v="703 Main St"/>
    <s v="Online (Unspecified)"/>
    <s v="Shipped"/>
    <s v="TRK31079911"/>
    <n v="4"/>
    <s v="FREESHIP"/>
    <s v="Email"/>
    <n v="208.36"/>
  </r>
  <r>
    <s v="ORD201174"/>
    <x v="11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s v="Online (Unspecified)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x v="665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x v="647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s v="Online (Unspecified)"/>
    <s v="Pending"/>
    <s v="TRK16240916"/>
    <n v="4"/>
    <s v="No Coupon"/>
    <s v="Instagram"/>
    <n v="1298.55"/>
  </r>
  <r>
    <s v="ORD201193"/>
    <x v="667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s v="Cash"/>
    <s v="Pending"/>
    <s v="TRK62067865"/>
    <n v="4"/>
    <s v="FREESHIP"/>
    <s v="Email"/>
    <n v="568.32000000000005"/>
  </r>
  <r>
    <s v="ORD201195"/>
    <x v="643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s v="Online (Unspecified)"/>
    <s v="Cancelled"/>
    <s v="TRK69207593"/>
    <n v="5"/>
    <s v="No Coupon"/>
    <s v="Facebook"/>
    <n v="1325.06"/>
  </r>
  <r>
    <s v="ORD201197"/>
    <x v="669"/>
    <s v="C79674"/>
    <x v="2"/>
    <n v="2"/>
    <n v="436.84"/>
    <s v="275 Main St"/>
    <s v="Online (Unspecified)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AAD9A-DA0E-4B7F-ADD4-F82886BD96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duct">
  <location ref="A3:D11" firstHeaderRow="0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1"/>
    </i>
    <i>
      <x v="3"/>
    </i>
    <i>
      <x v="6"/>
    </i>
    <i>
      <x v="2"/>
    </i>
    <i>
      <x v="5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3" baseField="3" baseItem="0" numFmtId="177"/>
    <dataField name="Average of TotalPrice" fld="13" subtotal="average" baseField="3" baseItem="0" numFmtId="177"/>
    <dataField name="Count of OrderID" fld="0" subtotal="count" baseField="3" baseItem="0"/>
  </dataFields>
  <formats count="2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A080C-D24D-40B5-ABAC-65E6B221A0A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6" firstHeaderRow="0" firstDataRow="1" firstDataCol="1"/>
  <pivotFields count="17">
    <pivotField dataField="1" showAll="0"/>
    <pivotField axis="axisRow"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 numFmtId="177"/>
    <dataField name="Count of OrderID" fld="0" subtotal="count" baseField="0" baseItem="0"/>
  </dataFields>
  <formats count="13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1">
          <reference field="14" count="1">
            <x v="1"/>
          </reference>
        </references>
      </pivotArea>
    </format>
    <format dxfId="15">
      <pivotArea collapsedLevelsAreSubtotals="1" fieldPosition="0">
        <references count="1">
          <reference field="14" count="1">
            <x v="2"/>
          </reference>
        </references>
      </pivotArea>
    </format>
    <format dxfId="14">
      <pivotArea collapsedLevelsAreSubtotals="1" fieldPosition="0">
        <references count="1">
          <reference field="14" count="1">
            <x v="3"/>
          </reference>
        </references>
      </pivotArea>
    </format>
    <format dxfId="13">
      <pivotArea collapsedLevelsAreSubtotals="1" fieldPosition="0">
        <references count="1">
          <reference field="14" count="1">
            <x v="4"/>
          </reference>
        </references>
      </pivotArea>
    </format>
    <format dxfId="12">
      <pivotArea collapsedLevelsAreSubtotals="1" fieldPosition="0">
        <references count="1">
          <reference field="14" count="1">
            <x v="5"/>
          </reference>
        </references>
      </pivotArea>
    </format>
    <format dxfId="11">
      <pivotArea dataOnly="0" labelOnly="1" fieldPosition="0">
        <references count="1">
          <reference field="14" count="5">
            <x v="1"/>
            <x v="2"/>
            <x v="3"/>
            <x v="4"/>
            <x v="5"/>
          </reference>
        </references>
      </pivotArea>
    </format>
    <format dxfId="10">
      <pivotArea collapsedLevelsAreSubtotals="1" fieldPosition="0">
        <references count="1">
          <reference field="14" count="1">
            <x v="6"/>
          </reference>
        </references>
      </pivotArea>
    </format>
    <format dxfId="9">
      <pivotArea dataOnly="0" labelOnly="1" fieldPosition="0">
        <references count="1">
          <reference field="14" count="1">
            <x v="6"/>
          </reference>
        </references>
      </pivotArea>
    </format>
    <format dxfId="8">
      <pivotArea collapsedLevelsAreSubtotals="1" fieldPosition="0">
        <references count="1">
          <reference field="14" count="1">
            <x v="6"/>
          </reference>
        </references>
      </pivotArea>
    </format>
    <format dxfId="7">
      <pivotArea dataOnly="0" labelOnly="1" fieldPosition="0">
        <references count="1">
          <reference field="14" count="1">
            <x v="6"/>
          </reference>
        </references>
      </pivotArea>
    </format>
    <format dxfId="6">
      <pivotArea collapsedLevelsAreSubtotals="1" fieldPosition="0">
        <references count="1">
          <reference field="14" count="1">
            <x v="9"/>
          </reference>
        </references>
      </pivotArea>
    </format>
    <format dxfId="5">
      <pivotArea dataOnly="0" labelOnly="1" fieldPosition="0">
        <references count="1">
          <reference field="14" count="1">
            <x v="9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B66A-3AC5-46FC-9699-F2C5BC1A92AC}">
  <dimension ref="A1:E29"/>
  <sheetViews>
    <sheetView topLeftCell="A7" workbookViewId="0">
      <selection activeCell="F26" sqref="F26"/>
    </sheetView>
  </sheetViews>
  <sheetFormatPr defaultRowHeight="14.4" x14ac:dyDescent="0.3"/>
  <cols>
    <col min="1" max="1" width="22.109375" bestFit="1" customWidth="1"/>
    <col min="2" max="2" width="14.21875" bestFit="1" customWidth="1"/>
    <col min="3" max="3" width="8.6640625" bestFit="1" customWidth="1"/>
    <col min="4" max="4" width="8.5546875" bestFit="1" customWidth="1"/>
    <col min="5" max="5" width="10.44140625" customWidth="1"/>
  </cols>
  <sheetData>
    <row r="1" spans="1:5" x14ac:dyDescent="0.3">
      <c r="A1" s="4" t="s">
        <v>4284</v>
      </c>
    </row>
    <row r="3" spans="1:5" x14ac:dyDescent="0.3">
      <c r="A3" t="s">
        <v>4293</v>
      </c>
      <c r="B3" t="s">
        <v>13</v>
      </c>
      <c r="C3" t="s">
        <v>5</v>
      </c>
      <c r="D3" t="s">
        <v>4</v>
      </c>
      <c r="E3" t="s">
        <v>10</v>
      </c>
    </row>
    <row r="4" spans="1:5" x14ac:dyDescent="0.3">
      <c r="A4" t="s">
        <v>4285</v>
      </c>
      <c r="B4" s="5">
        <f>AVERAGE(Sheet1!N:N)</f>
        <v>1053.9683000000005</v>
      </c>
      <c r="C4" s="5">
        <f>AVERAGE(Sheet1!F:F)</f>
        <v>356.41275000000007</v>
      </c>
      <c r="D4" s="6">
        <f>AVERAGE(Sheet1!E:E)</f>
        <v>2.9458333333333333</v>
      </c>
      <c r="E4" s="6">
        <f>AVERAGE(Sheet1!K:K)</f>
        <v>5.4850000000000003</v>
      </c>
    </row>
    <row r="5" spans="1:5" x14ac:dyDescent="0.3">
      <c r="A5" t="s">
        <v>4286</v>
      </c>
      <c r="B5" s="5">
        <f>MEDIAN(Sheet1!N:N)</f>
        <v>823.61500000000001</v>
      </c>
      <c r="C5" s="5">
        <f>MEDIAN(Sheet1!F:F)</f>
        <v>364.21</v>
      </c>
      <c r="D5">
        <f>MEDIAN(Sheet1!E:E)</f>
        <v>3</v>
      </c>
      <c r="E5">
        <f>MEDIAN(Sheet1!K:K)</f>
        <v>5</v>
      </c>
    </row>
    <row r="6" spans="1:5" x14ac:dyDescent="0.3">
      <c r="A6" t="s">
        <v>4287</v>
      </c>
      <c r="B6" s="5">
        <f>MODE(Sheet1!N:N)</f>
        <v>635.9</v>
      </c>
      <c r="C6" s="5">
        <f>MODE(Sheet1!F:F)</f>
        <v>127.18</v>
      </c>
      <c r="D6">
        <f>MODE(Sheet1!E:E)</f>
        <v>1</v>
      </c>
      <c r="E6">
        <f>MODE(Sheet1!K:K)</f>
        <v>5</v>
      </c>
    </row>
    <row r="7" spans="1:5" x14ac:dyDescent="0.3">
      <c r="A7" t="s">
        <v>4288</v>
      </c>
      <c r="B7" s="5">
        <f>MIN(Sheet1!N:N)</f>
        <v>11.39</v>
      </c>
      <c r="C7" s="5">
        <f>MIN(Sheet1!F:F)</f>
        <v>11.39</v>
      </c>
      <c r="D7">
        <f>MIN(Sheet1!E:E)</f>
        <v>1</v>
      </c>
      <c r="E7">
        <f>MIN(Sheet1!K:K)</f>
        <v>1</v>
      </c>
    </row>
    <row r="8" spans="1:5" x14ac:dyDescent="0.3">
      <c r="A8" t="s">
        <v>4289</v>
      </c>
      <c r="B8" s="5">
        <f>MAX(Sheet1!N:N)</f>
        <v>3456.4</v>
      </c>
      <c r="C8" s="5">
        <f>MAX(Sheet1!F:F)</f>
        <v>699.93</v>
      </c>
      <c r="D8">
        <f>MAX(Sheet1!E:E)</f>
        <v>5</v>
      </c>
      <c r="E8">
        <f>MAX(Sheet1!K:K)</f>
        <v>10</v>
      </c>
    </row>
    <row r="9" spans="1:5" x14ac:dyDescent="0.3">
      <c r="A9" t="s">
        <v>4290</v>
      </c>
      <c r="B9" s="5">
        <f>STDEV(Sheet1!N:N)</f>
        <v>819.85655836464559</v>
      </c>
      <c r="C9" s="5">
        <f>STDEV(Sheet1!F:F)</f>
        <v>197.17714641491236</v>
      </c>
      <c r="D9" s="6">
        <f>STDEV(Sheet1!E:E)</f>
        <v>1.4075570987983175</v>
      </c>
      <c r="E9" s="6">
        <f>STDEV(Sheet1!K:K)</f>
        <v>2.2819833201028645</v>
      </c>
    </row>
    <row r="10" spans="1:5" x14ac:dyDescent="0.3">
      <c r="A10" t="s">
        <v>4291</v>
      </c>
      <c r="B10" s="3">
        <f>COUNT(Sheet1!N:N)</f>
        <v>1200</v>
      </c>
      <c r="C10">
        <f>COUNT(Sheet1!F:F)</f>
        <v>1200</v>
      </c>
      <c r="D10">
        <f>COUNT(Sheet1!E:E)</f>
        <v>1200</v>
      </c>
      <c r="E10">
        <f>COUNT(Sheet1!K:K)</f>
        <v>1200</v>
      </c>
    </row>
    <row r="12" spans="1:5" x14ac:dyDescent="0.3">
      <c r="A12" s="4" t="s">
        <v>4292</v>
      </c>
    </row>
    <row r="13" spans="1:5" x14ac:dyDescent="0.3">
      <c r="A13" t="s">
        <v>4293</v>
      </c>
      <c r="B13" t="s">
        <v>4294</v>
      </c>
    </row>
    <row r="14" spans="1:5" x14ac:dyDescent="0.3">
      <c r="A14" t="s">
        <v>4295</v>
      </c>
      <c r="B14" s="7">
        <f>SUM(Sheet1!N:N)</f>
        <v>1264761.9600000004</v>
      </c>
    </row>
    <row r="15" spans="1:5" x14ac:dyDescent="0.3">
      <c r="A15" t="s">
        <v>4296</v>
      </c>
      <c r="B15">
        <f>COUNTA(Sheet1!A2:A1201)</f>
        <v>1200</v>
      </c>
    </row>
    <row r="16" spans="1:5" x14ac:dyDescent="0.3">
      <c r="A16" t="s">
        <v>4297</v>
      </c>
      <c r="B16" s="7">
        <f>AVERAGE(Sheet1!N:N)</f>
        <v>1053.9683000000005</v>
      </c>
    </row>
    <row r="17" spans="1:2" x14ac:dyDescent="0.3">
      <c r="A17" t="s">
        <v>4298</v>
      </c>
      <c r="B17">
        <f>SUM(Sheet1!E:E)</f>
        <v>3535</v>
      </c>
    </row>
    <row r="18" spans="1:2" x14ac:dyDescent="0.3">
      <c r="A18" t="s">
        <v>4299</v>
      </c>
      <c r="B18" s="5">
        <f>MAX(Sheet1!N:N)</f>
        <v>3456.4</v>
      </c>
    </row>
    <row r="19" spans="1:2" x14ac:dyDescent="0.3">
      <c r="A19" t="s">
        <v>4300</v>
      </c>
      <c r="B19" s="5">
        <f>MIN(Sheet1!N:N)</f>
        <v>11.39</v>
      </c>
    </row>
    <row r="21" spans="1:2" x14ac:dyDescent="0.3">
      <c r="A21" s="4" t="s">
        <v>4325</v>
      </c>
    </row>
    <row r="23" spans="1:2" x14ac:dyDescent="0.3">
      <c r="A23" t="s">
        <v>4293</v>
      </c>
      <c r="B23" t="s">
        <v>4294</v>
      </c>
    </row>
    <row r="24" spans="1:2" x14ac:dyDescent="0.3">
      <c r="A24" t="s">
        <v>4326</v>
      </c>
      <c r="B24" s="5">
        <f>QUARTILE(Sheet1!N:N,1)</f>
        <v>410.52</v>
      </c>
    </row>
    <row r="25" spans="1:2" x14ac:dyDescent="0.3">
      <c r="A25" t="s">
        <v>4327</v>
      </c>
      <c r="B25" s="5">
        <f>QUARTILE(Sheet1!N:N,3)</f>
        <v>1578.4749999999999</v>
      </c>
    </row>
    <row r="26" spans="1:2" x14ac:dyDescent="0.3">
      <c r="A26" t="s">
        <v>4328</v>
      </c>
      <c r="B26" s="5">
        <f>B25-B24</f>
        <v>1167.9549999999999</v>
      </c>
    </row>
    <row r="27" spans="1:2" x14ac:dyDescent="0.3">
      <c r="A27" t="s">
        <v>4329</v>
      </c>
      <c r="B27" s="5">
        <f>B24-(1.5*B26)</f>
        <v>-1341.4124999999999</v>
      </c>
    </row>
    <row r="28" spans="1:2" x14ac:dyDescent="0.3">
      <c r="A28" t="s">
        <v>4330</v>
      </c>
      <c r="B28" s="5">
        <f>B25+(1.5*B26)</f>
        <v>3330.4074999999998</v>
      </c>
    </row>
    <row r="29" spans="1:2" x14ac:dyDescent="0.3">
      <c r="A29" t="s">
        <v>4331</v>
      </c>
      <c r="B29">
        <f>COUNTIF(Sheet1!N:N,"&gt;"&amp;B28)</f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2534-B1B9-49C7-A80C-DD398BB77BAB}">
  <dimension ref="A3:D11"/>
  <sheetViews>
    <sheetView workbookViewId="0">
      <selection activeCell="L25" sqref="L25"/>
    </sheetView>
  </sheetViews>
  <sheetFormatPr defaultRowHeight="14.4" x14ac:dyDescent="0.3"/>
  <cols>
    <col min="1" max="1" width="10.77734375" bestFit="1" customWidth="1"/>
    <col min="2" max="2" width="15.88671875" bestFit="1" customWidth="1"/>
    <col min="3" max="3" width="19.109375" bestFit="1" customWidth="1"/>
    <col min="4" max="4" width="15.44140625" bestFit="1" customWidth="1"/>
  </cols>
  <sheetData>
    <row r="3" spans="1:4" x14ac:dyDescent="0.3">
      <c r="A3" s="8" t="s">
        <v>3</v>
      </c>
      <c r="B3" t="s">
        <v>4303</v>
      </c>
      <c r="C3" t="s">
        <v>4305</v>
      </c>
      <c r="D3" t="s">
        <v>4304</v>
      </c>
    </row>
    <row r="4" spans="1:4" x14ac:dyDescent="0.3">
      <c r="A4" s="9" t="s">
        <v>2404</v>
      </c>
      <c r="B4" s="10">
        <v>151722.39000000001</v>
      </c>
      <c r="C4" s="10">
        <v>972.57942307692315</v>
      </c>
      <c r="D4" s="3">
        <v>156</v>
      </c>
    </row>
    <row r="5" spans="1:4" x14ac:dyDescent="0.3">
      <c r="A5" s="9" t="s">
        <v>2409</v>
      </c>
      <c r="B5" s="10">
        <v>167459.93</v>
      </c>
      <c r="C5" s="10">
        <v>985.05841176470585</v>
      </c>
      <c r="D5" s="3">
        <v>170</v>
      </c>
    </row>
    <row r="6" spans="1:4" x14ac:dyDescent="0.3">
      <c r="A6" s="9" t="s">
        <v>2403</v>
      </c>
      <c r="B6" s="10">
        <v>175651.40999999997</v>
      </c>
      <c r="C6" s="10">
        <v>1077.6160122699384</v>
      </c>
      <c r="D6" s="3">
        <v>163</v>
      </c>
    </row>
    <row r="7" spans="1:4" x14ac:dyDescent="0.3">
      <c r="A7" s="9" t="s">
        <v>2405</v>
      </c>
      <c r="B7" s="10">
        <v>186568.95000000007</v>
      </c>
      <c r="C7" s="10">
        <v>1042.2846368715088</v>
      </c>
      <c r="D7" s="3">
        <v>179</v>
      </c>
    </row>
    <row r="8" spans="1:4" x14ac:dyDescent="0.3">
      <c r="A8" s="9" t="s">
        <v>2408</v>
      </c>
      <c r="B8" s="10">
        <v>192126.55999999994</v>
      </c>
      <c r="C8" s="10">
        <v>1110.558150289017</v>
      </c>
      <c r="D8" s="3">
        <v>173</v>
      </c>
    </row>
    <row r="9" spans="1:4" x14ac:dyDescent="0.3">
      <c r="A9" s="9" t="s">
        <v>2407</v>
      </c>
      <c r="B9" s="10">
        <v>195612.60999999996</v>
      </c>
      <c r="C9" s="10">
        <v>1080.7326519337014</v>
      </c>
      <c r="D9" s="3">
        <v>181</v>
      </c>
    </row>
    <row r="10" spans="1:4" x14ac:dyDescent="0.3">
      <c r="A10" s="9" t="s">
        <v>2406</v>
      </c>
      <c r="B10" s="10">
        <v>195620.11000000002</v>
      </c>
      <c r="C10" s="10">
        <v>1098.989382022472</v>
      </c>
      <c r="D10" s="3">
        <v>178</v>
      </c>
    </row>
    <row r="11" spans="1:4" x14ac:dyDescent="0.3">
      <c r="A11" s="9" t="s">
        <v>4302</v>
      </c>
      <c r="B11" s="10">
        <v>1264761.959999999</v>
      </c>
      <c r="C11" s="10">
        <v>1053.9682999999991</v>
      </c>
      <c r="D11" s="3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654C-AC20-4559-A0A1-981916885C26}">
  <dimension ref="A3:D16"/>
  <sheetViews>
    <sheetView workbookViewId="0">
      <selection activeCell="B24" sqref="B24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5.44140625" bestFit="1" customWidth="1"/>
  </cols>
  <sheetData>
    <row r="3" spans="1:4" x14ac:dyDescent="0.3">
      <c r="A3" s="8" t="s">
        <v>4301</v>
      </c>
      <c r="B3" t="s">
        <v>4303</v>
      </c>
      <c r="C3" t="s">
        <v>4304</v>
      </c>
    </row>
    <row r="4" spans="1:4" x14ac:dyDescent="0.3">
      <c r="A4" s="12" t="s">
        <v>4306</v>
      </c>
      <c r="B4" s="13">
        <v>124313.23000000005</v>
      </c>
      <c r="C4" s="14">
        <v>106</v>
      </c>
      <c r="D4" s="15"/>
    </row>
    <row r="5" spans="1:4" x14ac:dyDescent="0.3">
      <c r="A5" s="12" t="s">
        <v>4307</v>
      </c>
      <c r="B5" s="13">
        <v>112344.77999999998</v>
      </c>
      <c r="C5" s="14">
        <v>106</v>
      </c>
      <c r="D5" s="15"/>
    </row>
    <row r="6" spans="1:4" x14ac:dyDescent="0.3">
      <c r="A6" s="12" t="s">
        <v>4308</v>
      </c>
      <c r="B6" s="13">
        <v>123840.92999999995</v>
      </c>
      <c r="C6" s="14">
        <v>128</v>
      </c>
      <c r="D6" s="15"/>
    </row>
    <row r="7" spans="1:4" x14ac:dyDescent="0.3">
      <c r="A7" s="12" t="s">
        <v>4309</v>
      </c>
      <c r="B7" s="13">
        <v>109186.05</v>
      </c>
      <c r="C7" s="14">
        <v>113</v>
      </c>
      <c r="D7" s="15"/>
    </row>
    <row r="8" spans="1:4" x14ac:dyDescent="0.3">
      <c r="A8" s="12" t="s">
        <v>4310</v>
      </c>
      <c r="B8" s="13">
        <v>135142.59</v>
      </c>
      <c r="C8" s="14">
        <v>120</v>
      </c>
      <c r="D8" s="15"/>
    </row>
    <row r="9" spans="1:4" x14ac:dyDescent="0.3">
      <c r="A9" s="16" t="s">
        <v>4311</v>
      </c>
      <c r="B9" s="17">
        <v>170616.13000000006</v>
      </c>
      <c r="C9" s="18">
        <v>147</v>
      </c>
    </row>
    <row r="10" spans="1:4" x14ac:dyDescent="0.3">
      <c r="A10" s="9" t="s">
        <v>4312</v>
      </c>
      <c r="B10" s="10">
        <v>85784.63999999997</v>
      </c>
      <c r="C10" s="3">
        <v>87</v>
      </c>
    </row>
    <row r="11" spans="1:4" x14ac:dyDescent="0.3">
      <c r="A11" s="9" t="s">
        <v>4313</v>
      </c>
      <c r="B11" s="10">
        <v>86343.210000000036</v>
      </c>
      <c r="C11" s="3">
        <v>79</v>
      </c>
    </row>
    <row r="12" spans="1:4" x14ac:dyDescent="0.3">
      <c r="A12" s="19" t="s">
        <v>4314</v>
      </c>
      <c r="B12" s="20">
        <v>69321.650000000023</v>
      </c>
      <c r="C12" s="21">
        <v>73</v>
      </c>
    </row>
    <row r="13" spans="1:4" x14ac:dyDescent="0.3">
      <c r="A13" s="9" t="s">
        <v>4315</v>
      </c>
      <c r="B13" s="10">
        <v>89834.820000000022</v>
      </c>
      <c r="C13" s="3">
        <v>78</v>
      </c>
    </row>
    <row r="14" spans="1:4" x14ac:dyDescent="0.3">
      <c r="A14" s="9" t="s">
        <v>4316</v>
      </c>
      <c r="B14" s="10">
        <v>75493.430000000008</v>
      </c>
      <c r="C14" s="3">
        <v>76</v>
      </c>
    </row>
    <row r="15" spans="1:4" x14ac:dyDescent="0.3">
      <c r="A15" s="9" t="s">
        <v>4317</v>
      </c>
      <c r="B15" s="10">
        <v>82540.5</v>
      </c>
      <c r="C15" s="3">
        <v>87</v>
      </c>
    </row>
    <row r="16" spans="1:4" x14ac:dyDescent="0.3">
      <c r="A16" s="9" t="s">
        <v>4302</v>
      </c>
      <c r="B16" s="10">
        <v>1264761.9600000009</v>
      </c>
      <c r="C16" s="3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A9A8-B1DF-42F8-B61C-91DBC498699A}">
  <dimension ref="A1:C9"/>
  <sheetViews>
    <sheetView tabSelected="1" workbookViewId="0">
      <selection activeCell="O22" sqref="O22:O23"/>
    </sheetView>
  </sheetViews>
  <sheetFormatPr defaultRowHeight="14.4" x14ac:dyDescent="0.3"/>
  <cols>
    <col min="1" max="1" width="26.77734375" bestFit="1" customWidth="1"/>
    <col min="2" max="2" width="5.88671875" bestFit="1" customWidth="1"/>
    <col min="3" max="3" width="10.109375" bestFit="1" customWidth="1"/>
  </cols>
  <sheetData>
    <row r="1" spans="1:3" x14ac:dyDescent="0.3">
      <c r="A1" s="4" t="s">
        <v>4318</v>
      </c>
    </row>
    <row r="3" spans="1:3" x14ac:dyDescent="0.3">
      <c r="A3" t="s">
        <v>4319</v>
      </c>
      <c r="B3" t="s">
        <v>4291</v>
      </c>
      <c r="C3" t="s">
        <v>4320</v>
      </c>
    </row>
    <row r="4" spans="1:3" x14ac:dyDescent="0.3">
      <c r="A4" t="s">
        <v>3072</v>
      </c>
      <c r="B4">
        <f>COUNTIF(Sheet1!I:I,"Delivered")</f>
        <v>231</v>
      </c>
      <c r="C4" s="22">
        <f>B4/1200</f>
        <v>0.1925</v>
      </c>
    </row>
    <row r="5" spans="1:3" x14ac:dyDescent="0.3">
      <c r="A5" t="s">
        <v>3070</v>
      </c>
      <c r="B5">
        <f>COUNTIF(Sheet1!I:I,"Cancelled")</f>
        <v>250</v>
      </c>
      <c r="C5" s="22">
        <f t="shared" ref="C5:C8" si="0">B5/1200</f>
        <v>0.20833333333333334</v>
      </c>
    </row>
    <row r="6" spans="1:3" x14ac:dyDescent="0.3">
      <c r="A6" t="s">
        <v>3073</v>
      </c>
      <c r="B6">
        <f>COUNTIF(Sheet1!I:I,"Pending")</f>
        <v>237</v>
      </c>
      <c r="C6" s="22">
        <f t="shared" si="0"/>
        <v>0.19750000000000001</v>
      </c>
    </row>
    <row r="7" spans="1:3" x14ac:dyDescent="0.3">
      <c r="A7" t="s">
        <v>3071</v>
      </c>
      <c r="B7">
        <f>COUNTIF(Sheet1!I:I,"Returned")</f>
        <v>247</v>
      </c>
      <c r="C7" s="22">
        <f t="shared" si="0"/>
        <v>0.20583333333333334</v>
      </c>
    </row>
    <row r="8" spans="1:3" x14ac:dyDescent="0.3">
      <c r="A8" t="s">
        <v>3069</v>
      </c>
      <c r="B8">
        <f>COUNTIF(Sheet1!I:I,"Shipped")</f>
        <v>235</v>
      </c>
      <c r="C8" s="22">
        <f t="shared" si="0"/>
        <v>0.19583333333333333</v>
      </c>
    </row>
    <row r="9" spans="1:3" x14ac:dyDescent="0.3">
      <c r="A9" s="4" t="s">
        <v>4321</v>
      </c>
      <c r="B9" s="4">
        <f>SUM(B4:B8)</f>
        <v>1200</v>
      </c>
      <c r="C9" s="23">
        <f>SUM(C4:C8)</f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1731-19F9-4B99-B724-11B43D9DF034}">
  <dimension ref="A1:C9"/>
  <sheetViews>
    <sheetView workbookViewId="0">
      <selection activeCell="P10" sqref="P10"/>
    </sheetView>
  </sheetViews>
  <sheetFormatPr defaultRowHeight="14.4" x14ac:dyDescent="0.3"/>
  <cols>
    <col min="1" max="1" width="28.109375" bestFit="1" customWidth="1"/>
    <col min="2" max="2" width="13.6640625" bestFit="1" customWidth="1"/>
    <col min="3" max="3" width="11" bestFit="1" customWidth="1"/>
  </cols>
  <sheetData>
    <row r="1" spans="1:3" x14ac:dyDescent="0.3">
      <c r="A1" s="4" t="s">
        <v>4322</v>
      </c>
    </row>
    <row r="3" spans="1:3" x14ac:dyDescent="0.3">
      <c r="A3" t="s">
        <v>4323</v>
      </c>
      <c r="B3" t="s">
        <v>4295</v>
      </c>
      <c r="C3" t="s">
        <v>4324</v>
      </c>
    </row>
    <row r="4" spans="1:3" x14ac:dyDescent="0.3">
      <c r="A4" t="s">
        <v>4277</v>
      </c>
      <c r="B4" s="10">
        <f>SUMIF(Sheet1!M:M,"Instagram",Sheet1!N:N)</f>
        <v>275285.45000000007</v>
      </c>
      <c r="C4">
        <f>COUNTIF(Sheet1!M:M,"Instagram")</f>
        <v>259</v>
      </c>
    </row>
    <row r="5" spans="1:3" x14ac:dyDescent="0.3">
      <c r="A5" t="s">
        <v>4279</v>
      </c>
      <c r="B5" s="10">
        <f>SUMIF(Sheet1!M:M,"Email",Sheet1!N:N)</f>
        <v>261808.55000000002</v>
      </c>
      <c r="C5">
        <f>COUNTIF(Sheet1!M:M,"Email")</f>
        <v>250</v>
      </c>
    </row>
    <row r="6" spans="1:3" x14ac:dyDescent="0.3">
      <c r="A6" t="s">
        <v>4281</v>
      </c>
      <c r="B6" s="10">
        <f>SUMIF(Sheet1!M:M,"Google",Sheet1!N:N)</f>
        <v>250441.47999999998</v>
      </c>
      <c r="C6">
        <f>COUNTIF(Sheet1!M:M,"Google")</f>
        <v>241</v>
      </c>
    </row>
    <row r="7" spans="1:3" x14ac:dyDescent="0.3">
      <c r="A7" t="s">
        <v>4280</v>
      </c>
      <c r="B7" s="10">
        <f>SUMIF(Sheet1!M:M,"Facebook",Sheet1!N:N)</f>
        <v>250410.9</v>
      </c>
      <c r="C7">
        <f>COUNTIF(Sheet1!M:M,"Facebook")</f>
        <v>228</v>
      </c>
    </row>
    <row r="8" spans="1:3" x14ac:dyDescent="0.3">
      <c r="A8" t="s">
        <v>4278</v>
      </c>
      <c r="B8" s="10">
        <f>SUMIF(Sheet1!M:M,"Referral",Sheet1!N:N)</f>
        <v>226815.5799999999</v>
      </c>
      <c r="C8">
        <f>COUNTIF(Sheet1!M:M,"Referral")</f>
        <v>222</v>
      </c>
    </row>
    <row r="9" spans="1:3" x14ac:dyDescent="0.3">
      <c r="A9" s="4" t="s">
        <v>4321</v>
      </c>
      <c r="B9" s="11">
        <f>SUM(B4:B8)</f>
        <v>1264761.96</v>
      </c>
      <c r="C9" s="4">
        <f>SUM(C4:C8)</f>
        <v>1200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workbookViewId="0">
      <pane ySplit="1" topLeftCell="A2" activePane="bottomLeft" state="frozen"/>
      <selection pane="bottomLeft" activeCell="T8" sqref="T8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4" t="s">
        <v>13</v>
      </c>
    </row>
    <row r="2" spans="1:16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 s="3">
        <v>2853.1</v>
      </c>
      <c r="P2" s="25"/>
    </row>
    <row r="3" spans="1:16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4283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 s="3">
        <v>302.7</v>
      </c>
    </row>
    <row r="4" spans="1:16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 s="3">
        <v>2753.4</v>
      </c>
    </row>
    <row r="5" spans="1:16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 s="3">
        <v>273.19</v>
      </c>
    </row>
    <row r="6" spans="1:16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4283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 s="3">
        <v>2504.04</v>
      </c>
    </row>
    <row r="7" spans="1:16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 s="3">
        <v>491.72</v>
      </c>
    </row>
    <row r="8" spans="1:16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 s="3">
        <v>664.42</v>
      </c>
    </row>
    <row r="9" spans="1:16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 s="3">
        <v>747.75</v>
      </c>
    </row>
    <row r="10" spans="1:16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3067</v>
      </c>
      <c r="I10" t="s">
        <v>3070</v>
      </c>
      <c r="J10" t="s">
        <v>3082</v>
      </c>
      <c r="K10">
        <v>2</v>
      </c>
      <c r="L10" t="s">
        <v>4282</v>
      </c>
      <c r="M10" t="s">
        <v>4279</v>
      </c>
      <c r="N10" s="3">
        <v>268.56</v>
      </c>
    </row>
    <row r="11" spans="1:16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 s="3">
        <v>2037.52</v>
      </c>
    </row>
    <row r="12" spans="1:16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 s="3">
        <v>3129.85</v>
      </c>
    </row>
    <row r="13" spans="1:16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4283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 s="3">
        <v>147.41999999999999</v>
      </c>
    </row>
    <row r="14" spans="1:16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 s="3">
        <v>361</v>
      </c>
    </row>
    <row r="15" spans="1:16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 s="3">
        <v>604.47</v>
      </c>
    </row>
    <row r="16" spans="1:16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 s="3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3068</v>
      </c>
      <c r="I17" t="s">
        <v>3072</v>
      </c>
      <c r="J17" t="s">
        <v>3089</v>
      </c>
      <c r="K17">
        <v>3</v>
      </c>
      <c r="L17" t="s">
        <v>4282</v>
      </c>
      <c r="M17" t="s">
        <v>4281</v>
      </c>
      <c r="N17" s="3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 s="3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3069</v>
      </c>
      <c r="J19" t="s">
        <v>3091</v>
      </c>
      <c r="K19">
        <v>3</v>
      </c>
      <c r="L19" t="s">
        <v>4282</v>
      </c>
      <c r="M19" t="s">
        <v>4278</v>
      </c>
      <c r="N19" s="3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 s="3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 s="3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 s="3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3068</v>
      </c>
      <c r="I23" t="s">
        <v>3072</v>
      </c>
      <c r="J23" t="s">
        <v>3095</v>
      </c>
      <c r="K23">
        <v>6</v>
      </c>
      <c r="L23" t="s">
        <v>4282</v>
      </c>
      <c r="M23" t="s">
        <v>4281</v>
      </c>
      <c r="N23" s="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4283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 s="3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 s="3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4283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 s="3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 s="3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4283</v>
      </c>
      <c r="I28" t="s">
        <v>3072</v>
      </c>
      <c r="J28" t="s">
        <v>3100</v>
      </c>
      <c r="K28">
        <v>6</v>
      </c>
      <c r="L28" t="s">
        <v>4282</v>
      </c>
      <c r="M28" t="s">
        <v>4278</v>
      </c>
      <c r="N28" s="3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4283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 s="3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4283</v>
      </c>
      <c r="I30" t="s">
        <v>3073</v>
      </c>
      <c r="J30" t="s">
        <v>3102</v>
      </c>
      <c r="K30">
        <v>5</v>
      </c>
      <c r="L30" t="s">
        <v>4282</v>
      </c>
      <c r="M30" t="s">
        <v>4279</v>
      </c>
      <c r="N30" s="3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 s="3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4283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 s="3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3071</v>
      </c>
      <c r="J33" t="s">
        <v>3105</v>
      </c>
      <c r="K33">
        <v>6</v>
      </c>
      <c r="L33" t="s">
        <v>4282</v>
      </c>
      <c r="M33" t="s">
        <v>4280</v>
      </c>
      <c r="N33" s="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3068</v>
      </c>
      <c r="I34" t="s">
        <v>3072</v>
      </c>
      <c r="J34" t="s">
        <v>3106</v>
      </c>
      <c r="K34">
        <v>10</v>
      </c>
      <c r="L34" t="s">
        <v>4282</v>
      </c>
      <c r="M34" t="s">
        <v>4279</v>
      </c>
      <c r="N34" s="3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4283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 s="3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 s="3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4283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 s="3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3073</v>
      </c>
      <c r="J38" t="s">
        <v>3110</v>
      </c>
      <c r="K38">
        <v>5</v>
      </c>
      <c r="L38" t="s">
        <v>4282</v>
      </c>
      <c r="M38" t="s">
        <v>4280</v>
      </c>
      <c r="N38" s="3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 s="3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 s="3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 s="3">
        <v>769.38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4283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 s="3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 s="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3068</v>
      </c>
      <c r="I44" t="s">
        <v>3070</v>
      </c>
      <c r="J44" t="s">
        <v>3116</v>
      </c>
      <c r="K44">
        <v>6</v>
      </c>
      <c r="L44" t="s">
        <v>4282</v>
      </c>
      <c r="M44" t="s">
        <v>4277</v>
      </c>
      <c r="N44" s="3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4283</v>
      </c>
      <c r="I45" t="s">
        <v>3070</v>
      </c>
      <c r="J45" t="s">
        <v>3117</v>
      </c>
      <c r="K45">
        <v>8</v>
      </c>
      <c r="L45" t="s">
        <v>4282</v>
      </c>
      <c r="M45" t="s">
        <v>4277</v>
      </c>
      <c r="N45" s="3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 s="3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 s="3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 s="3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 s="3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3069</v>
      </c>
      <c r="J50" t="s">
        <v>3122</v>
      </c>
      <c r="K50">
        <v>4</v>
      </c>
      <c r="L50" t="s">
        <v>4282</v>
      </c>
      <c r="M50" t="s">
        <v>4281</v>
      </c>
      <c r="N50" s="3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 s="3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4283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 s="3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 s="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4283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 s="3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4283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 s="3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4283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 s="3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4283</v>
      </c>
      <c r="I57" t="s">
        <v>3070</v>
      </c>
      <c r="J57" t="s">
        <v>3129</v>
      </c>
      <c r="K57">
        <v>3</v>
      </c>
      <c r="L57" t="s">
        <v>4282</v>
      </c>
      <c r="M57" t="s">
        <v>4280</v>
      </c>
      <c r="N57" s="3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 s="3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 s="3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 s="3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4283</v>
      </c>
      <c r="I61" t="s">
        <v>3069</v>
      </c>
      <c r="J61" t="s">
        <v>3133</v>
      </c>
      <c r="K61">
        <v>5</v>
      </c>
      <c r="L61" t="s">
        <v>4282</v>
      </c>
      <c r="M61" t="s">
        <v>4280</v>
      </c>
      <c r="N61" s="3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 s="3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 s="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 s="3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 s="3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 s="3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3066</v>
      </c>
      <c r="I67" t="s">
        <v>3072</v>
      </c>
      <c r="J67" t="s">
        <v>3139</v>
      </c>
      <c r="K67">
        <v>6</v>
      </c>
      <c r="L67" t="s">
        <v>4282</v>
      </c>
      <c r="M67" t="s">
        <v>4277</v>
      </c>
      <c r="N67" s="3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 s="3">
        <v>635.9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3070</v>
      </c>
      <c r="J69" t="s">
        <v>3141</v>
      </c>
      <c r="K69">
        <v>8</v>
      </c>
      <c r="L69" t="s">
        <v>4282</v>
      </c>
      <c r="M69" t="s">
        <v>4281</v>
      </c>
      <c r="N69" s="3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 s="3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4283</v>
      </c>
      <c r="I71" t="s">
        <v>3069</v>
      </c>
      <c r="J71" t="s">
        <v>3143</v>
      </c>
      <c r="K71">
        <v>4</v>
      </c>
      <c r="L71" t="s">
        <v>4282</v>
      </c>
      <c r="M71" t="s">
        <v>4278</v>
      </c>
      <c r="N71" s="3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 s="3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3066</v>
      </c>
      <c r="I73" t="s">
        <v>3073</v>
      </c>
      <c r="J73" t="s">
        <v>3145</v>
      </c>
      <c r="K73">
        <v>4</v>
      </c>
      <c r="L73" t="s">
        <v>4282</v>
      </c>
      <c r="M73" t="s">
        <v>4278</v>
      </c>
      <c r="N73" s="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3067</v>
      </c>
      <c r="I74" t="s">
        <v>3071</v>
      </c>
      <c r="J74" t="s">
        <v>3146</v>
      </c>
      <c r="K74">
        <v>5</v>
      </c>
      <c r="L74" t="s">
        <v>4282</v>
      </c>
      <c r="M74" t="s">
        <v>4280</v>
      </c>
      <c r="N74" s="3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3067</v>
      </c>
      <c r="I75" t="s">
        <v>3070</v>
      </c>
      <c r="J75" t="s">
        <v>3147</v>
      </c>
      <c r="K75">
        <v>4</v>
      </c>
      <c r="L75" t="s">
        <v>4282</v>
      </c>
      <c r="M75" t="s">
        <v>4280</v>
      </c>
      <c r="N75" s="3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3068</v>
      </c>
      <c r="I76" t="s">
        <v>3073</v>
      </c>
      <c r="J76" t="s">
        <v>3148</v>
      </c>
      <c r="K76">
        <v>5</v>
      </c>
      <c r="L76" t="s">
        <v>4282</v>
      </c>
      <c r="M76" t="s">
        <v>4277</v>
      </c>
      <c r="N76" s="3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 s="3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 s="3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3066</v>
      </c>
      <c r="I79" t="s">
        <v>3071</v>
      </c>
      <c r="J79" t="s">
        <v>3151</v>
      </c>
      <c r="K79">
        <v>5</v>
      </c>
      <c r="L79" t="s">
        <v>4282</v>
      </c>
      <c r="M79" t="s">
        <v>4281</v>
      </c>
      <c r="N79" s="3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 s="3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4283</v>
      </c>
      <c r="I81" t="s">
        <v>3069</v>
      </c>
      <c r="J81" t="s">
        <v>3153</v>
      </c>
      <c r="K81">
        <v>2</v>
      </c>
      <c r="L81" t="s">
        <v>4282</v>
      </c>
      <c r="M81" t="s">
        <v>4280</v>
      </c>
      <c r="N81" s="3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4283</v>
      </c>
      <c r="I82" t="s">
        <v>3071</v>
      </c>
      <c r="J82" t="s">
        <v>3154</v>
      </c>
      <c r="K82">
        <v>6</v>
      </c>
      <c r="L82" t="s">
        <v>4282</v>
      </c>
      <c r="M82" t="s">
        <v>4280</v>
      </c>
      <c r="N82" s="3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 s="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 s="3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3066</v>
      </c>
      <c r="I85" t="s">
        <v>3070</v>
      </c>
      <c r="J85" t="s">
        <v>3157</v>
      </c>
      <c r="K85">
        <v>6</v>
      </c>
      <c r="L85" t="s">
        <v>4282</v>
      </c>
      <c r="M85" t="s">
        <v>4278</v>
      </c>
      <c r="N85" s="3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4283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 s="3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 s="3">
        <v>440.19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4283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 s="3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 s="3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3067</v>
      </c>
      <c r="I90" t="s">
        <v>3070</v>
      </c>
      <c r="J90" t="s">
        <v>3162</v>
      </c>
      <c r="K90">
        <v>7</v>
      </c>
      <c r="L90" t="s">
        <v>4282</v>
      </c>
      <c r="M90" t="s">
        <v>4281</v>
      </c>
      <c r="N90" s="3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 s="3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 s="3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 s="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4283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 s="3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3066</v>
      </c>
      <c r="I95" t="s">
        <v>3071</v>
      </c>
      <c r="J95" t="s">
        <v>3167</v>
      </c>
      <c r="K95">
        <v>7</v>
      </c>
      <c r="L95" t="s">
        <v>4282</v>
      </c>
      <c r="M95" t="s">
        <v>4278</v>
      </c>
      <c r="N95" s="3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 s="3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3071</v>
      </c>
      <c r="J97" t="s">
        <v>3169</v>
      </c>
      <c r="K97">
        <v>7</v>
      </c>
      <c r="L97" t="s">
        <v>4282</v>
      </c>
      <c r="M97" t="s">
        <v>4278</v>
      </c>
      <c r="N97" s="3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3067</v>
      </c>
      <c r="I98" t="s">
        <v>3072</v>
      </c>
      <c r="J98" t="s">
        <v>3170</v>
      </c>
      <c r="K98">
        <v>7</v>
      </c>
      <c r="L98" t="s">
        <v>4282</v>
      </c>
      <c r="M98" t="s">
        <v>4277</v>
      </c>
      <c r="N98" s="3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3073</v>
      </c>
      <c r="J99" t="s">
        <v>3171</v>
      </c>
      <c r="K99">
        <v>9</v>
      </c>
      <c r="L99" t="s">
        <v>4282</v>
      </c>
      <c r="M99" t="s">
        <v>4279</v>
      </c>
      <c r="N99" s="3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3073</v>
      </c>
      <c r="J100" t="s">
        <v>3172</v>
      </c>
      <c r="K100">
        <v>3</v>
      </c>
      <c r="L100" t="s">
        <v>4282</v>
      </c>
      <c r="M100" t="s">
        <v>4279</v>
      </c>
      <c r="N100" s="3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 s="3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4283</v>
      </c>
      <c r="I102" t="s">
        <v>3072</v>
      </c>
      <c r="J102" t="s">
        <v>3174</v>
      </c>
      <c r="K102">
        <v>6</v>
      </c>
      <c r="L102" t="s">
        <v>4282</v>
      </c>
      <c r="M102" t="s">
        <v>4280</v>
      </c>
      <c r="N102" s="3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3068</v>
      </c>
      <c r="I103" t="s">
        <v>3069</v>
      </c>
      <c r="J103" t="s">
        <v>3175</v>
      </c>
      <c r="K103">
        <v>6</v>
      </c>
      <c r="L103" t="s">
        <v>4282</v>
      </c>
      <c r="M103" t="s">
        <v>4281</v>
      </c>
      <c r="N103" s="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 s="3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 s="3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 s="3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3067</v>
      </c>
      <c r="I107" t="s">
        <v>3070</v>
      </c>
      <c r="J107" t="s">
        <v>3179</v>
      </c>
      <c r="K107">
        <v>7</v>
      </c>
      <c r="L107" t="s">
        <v>4282</v>
      </c>
      <c r="M107" t="s">
        <v>4280</v>
      </c>
      <c r="N107" s="3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 s="3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 s="3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 s="3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 s="3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 s="3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4283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 s="3">
        <v>927.66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4283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 s="3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 s="3">
        <v>950.4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4283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 s="3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4283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 s="3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 s="3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 s="3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 s="3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 s="3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 s="3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 s="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3067</v>
      </c>
      <c r="I124" t="s">
        <v>3069</v>
      </c>
      <c r="J124" t="s">
        <v>3196</v>
      </c>
      <c r="K124">
        <v>2</v>
      </c>
      <c r="L124" t="s">
        <v>4282</v>
      </c>
      <c r="M124" t="s">
        <v>4280</v>
      </c>
      <c r="N124" s="3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4283</v>
      </c>
      <c r="I125" t="s">
        <v>3072</v>
      </c>
      <c r="J125" t="s">
        <v>3197</v>
      </c>
      <c r="K125">
        <v>5</v>
      </c>
      <c r="L125" t="s">
        <v>4282</v>
      </c>
      <c r="M125" t="s">
        <v>4277</v>
      </c>
      <c r="N125" s="3">
        <v>834.12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4283</v>
      </c>
      <c r="I126" t="s">
        <v>3073</v>
      </c>
      <c r="J126" t="s">
        <v>3198</v>
      </c>
      <c r="K126">
        <v>8</v>
      </c>
      <c r="L126" t="s">
        <v>4282</v>
      </c>
      <c r="M126" t="s">
        <v>4281</v>
      </c>
      <c r="N126" s="3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 s="3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 s="3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3069</v>
      </c>
      <c r="J129" t="s">
        <v>3201</v>
      </c>
      <c r="K129">
        <v>3</v>
      </c>
      <c r="L129" t="s">
        <v>4282</v>
      </c>
      <c r="M129" t="s">
        <v>4281</v>
      </c>
      <c r="N129" s="3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 s="3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 s="3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4283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 s="3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3067</v>
      </c>
      <c r="I133" t="s">
        <v>3073</v>
      </c>
      <c r="J133" t="s">
        <v>3205</v>
      </c>
      <c r="K133">
        <v>5</v>
      </c>
      <c r="L133" t="s">
        <v>4282</v>
      </c>
      <c r="M133" t="s">
        <v>4277</v>
      </c>
      <c r="N133" s="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 s="3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 s="3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3068</v>
      </c>
      <c r="I136" t="s">
        <v>3073</v>
      </c>
      <c r="J136" t="s">
        <v>3208</v>
      </c>
      <c r="K136">
        <v>4</v>
      </c>
      <c r="L136" t="s">
        <v>4282</v>
      </c>
      <c r="M136" t="s">
        <v>4279</v>
      </c>
      <c r="N136" s="3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 s="3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 s="3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3066</v>
      </c>
      <c r="I139" t="s">
        <v>3072</v>
      </c>
      <c r="J139" t="s">
        <v>3211</v>
      </c>
      <c r="K139">
        <v>5</v>
      </c>
      <c r="L139" t="s">
        <v>4282</v>
      </c>
      <c r="M139" t="s">
        <v>4281</v>
      </c>
      <c r="N139" s="3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 s="3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3068</v>
      </c>
      <c r="I141" t="s">
        <v>3071</v>
      </c>
      <c r="J141" t="s">
        <v>3213</v>
      </c>
      <c r="K141">
        <v>1</v>
      </c>
      <c r="L141" t="s">
        <v>4282</v>
      </c>
      <c r="M141" t="s">
        <v>4279</v>
      </c>
      <c r="N141" s="3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4283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 s="3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 s="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 s="3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4283</v>
      </c>
      <c r="I145" t="s">
        <v>3069</v>
      </c>
      <c r="J145" t="s">
        <v>3217</v>
      </c>
      <c r="K145">
        <v>5</v>
      </c>
      <c r="L145" t="s">
        <v>4282</v>
      </c>
      <c r="M145" t="s">
        <v>4278</v>
      </c>
      <c r="N145" s="3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3066</v>
      </c>
      <c r="I146" t="s">
        <v>3073</v>
      </c>
      <c r="J146" t="s">
        <v>3218</v>
      </c>
      <c r="K146">
        <v>8</v>
      </c>
      <c r="L146" t="s">
        <v>4282</v>
      </c>
      <c r="M146" t="s">
        <v>4280</v>
      </c>
      <c r="N146" s="3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 s="3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3066</v>
      </c>
      <c r="I148" t="s">
        <v>3071</v>
      </c>
      <c r="J148" t="s">
        <v>3220</v>
      </c>
      <c r="K148">
        <v>4</v>
      </c>
      <c r="L148" t="s">
        <v>4282</v>
      </c>
      <c r="M148" t="s">
        <v>4277</v>
      </c>
      <c r="N148" s="3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 s="3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 s="3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3072</v>
      </c>
      <c r="J151" t="s">
        <v>3223</v>
      </c>
      <c r="K151">
        <v>3</v>
      </c>
      <c r="L151" t="s">
        <v>4282</v>
      </c>
      <c r="M151" t="s">
        <v>4280</v>
      </c>
      <c r="N151" s="3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 s="3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3071</v>
      </c>
      <c r="J153" t="s">
        <v>3225</v>
      </c>
      <c r="K153">
        <v>7</v>
      </c>
      <c r="L153" t="s">
        <v>4282</v>
      </c>
      <c r="M153" t="s">
        <v>4279</v>
      </c>
      <c r="N153" s="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 s="3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4283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 s="3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3066</v>
      </c>
      <c r="I156" t="s">
        <v>3073</v>
      </c>
      <c r="J156" t="s">
        <v>3228</v>
      </c>
      <c r="K156">
        <v>9</v>
      </c>
      <c r="L156" t="s">
        <v>4282</v>
      </c>
      <c r="M156" t="s">
        <v>4277</v>
      </c>
      <c r="N156" s="3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4283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 s="3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4283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 s="3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4283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 s="3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 s="3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 s="3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3068</v>
      </c>
      <c r="I162" t="s">
        <v>3073</v>
      </c>
      <c r="J162" t="s">
        <v>3234</v>
      </c>
      <c r="K162">
        <v>7</v>
      </c>
      <c r="L162" t="s">
        <v>4282</v>
      </c>
      <c r="M162" t="s">
        <v>4278</v>
      </c>
      <c r="N162" s="3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 s="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4283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 s="3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4283</v>
      </c>
      <c r="I165" t="s">
        <v>3070</v>
      </c>
      <c r="J165" t="s">
        <v>3237</v>
      </c>
      <c r="K165">
        <v>1</v>
      </c>
      <c r="L165" t="s">
        <v>4282</v>
      </c>
      <c r="M165" t="s">
        <v>4278</v>
      </c>
      <c r="N165" s="3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 s="3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4283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 s="3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 s="3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4283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 s="3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3068</v>
      </c>
      <c r="I170" t="s">
        <v>3071</v>
      </c>
      <c r="J170" t="s">
        <v>3242</v>
      </c>
      <c r="K170">
        <v>6</v>
      </c>
      <c r="L170" t="s">
        <v>4282</v>
      </c>
      <c r="M170" t="s">
        <v>4280</v>
      </c>
      <c r="N170" s="3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4283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 s="3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 s="3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 s="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4283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 s="3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4283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 s="3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 s="3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 s="3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 s="3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3066</v>
      </c>
      <c r="I179" t="s">
        <v>3073</v>
      </c>
      <c r="J179" t="s">
        <v>3251</v>
      </c>
      <c r="K179">
        <v>10</v>
      </c>
      <c r="L179" t="s">
        <v>4282</v>
      </c>
      <c r="M179" t="s">
        <v>4280</v>
      </c>
      <c r="N179" s="3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4283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 s="3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3066</v>
      </c>
      <c r="I181" t="s">
        <v>3072</v>
      </c>
      <c r="J181" t="s">
        <v>3253</v>
      </c>
      <c r="K181">
        <v>8</v>
      </c>
      <c r="L181" t="s">
        <v>4282</v>
      </c>
      <c r="M181" t="s">
        <v>4279</v>
      </c>
      <c r="N181" s="3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3068</v>
      </c>
      <c r="I182" t="s">
        <v>3071</v>
      </c>
      <c r="J182" t="s">
        <v>3254</v>
      </c>
      <c r="K182">
        <v>10</v>
      </c>
      <c r="L182" t="s">
        <v>4282</v>
      </c>
      <c r="M182" t="s">
        <v>4281</v>
      </c>
      <c r="N182" s="3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4283</v>
      </c>
      <c r="I183" t="s">
        <v>3069</v>
      </c>
      <c r="J183" t="s">
        <v>3255</v>
      </c>
      <c r="K183">
        <v>10</v>
      </c>
      <c r="L183" t="s">
        <v>4282</v>
      </c>
      <c r="M183" t="s">
        <v>4278</v>
      </c>
      <c r="N183" s="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 s="3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 s="3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3067</v>
      </c>
      <c r="I186" t="s">
        <v>3070</v>
      </c>
      <c r="J186" t="s">
        <v>3258</v>
      </c>
      <c r="K186">
        <v>7</v>
      </c>
      <c r="L186" t="s">
        <v>4282</v>
      </c>
      <c r="M186" t="s">
        <v>4278</v>
      </c>
      <c r="N186" s="3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4283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 s="3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 s="3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 s="3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 s="3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 s="3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 s="3">
        <v>671.1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4283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 s="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 s="3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3068</v>
      </c>
      <c r="I195" t="s">
        <v>3070</v>
      </c>
      <c r="J195" t="s">
        <v>3267</v>
      </c>
      <c r="K195">
        <v>6</v>
      </c>
      <c r="L195" t="s">
        <v>4282</v>
      </c>
      <c r="M195" t="s">
        <v>4281</v>
      </c>
      <c r="N195" s="3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 s="3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3070</v>
      </c>
      <c r="J197" t="s">
        <v>3269</v>
      </c>
      <c r="K197">
        <v>6</v>
      </c>
      <c r="L197" t="s">
        <v>4282</v>
      </c>
      <c r="M197" t="s">
        <v>4279</v>
      </c>
      <c r="N197" s="3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 s="3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 s="3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 s="3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4283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 s="3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 s="3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4283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 s="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 s="3">
        <v>761.94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4283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 s="3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 s="3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3071</v>
      </c>
      <c r="J207" t="s">
        <v>3279</v>
      </c>
      <c r="K207">
        <v>3</v>
      </c>
      <c r="L207" t="s">
        <v>4282</v>
      </c>
      <c r="M207" t="s">
        <v>4279</v>
      </c>
      <c r="N207" s="3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 s="3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3072</v>
      </c>
      <c r="J209" t="s">
        <v>3281</v>
      </c>
      <c r="K209">
        <v>3</v>
      </c>
      <c r="L209" t="s">
        <v>4282</v>
      </c>
      <c r="M209" t="s">
        <v>4281</v>
      </c>
      <c r="N209" s="3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4283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 s="3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 s="3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 s="3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 s="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 s="3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 s="3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4283</v>
      </c>
      <c r="I216" t="s">
        <v>3072</v>
      </c>
      <c r="J216" t="s">
        <v>3288</v>
      </c>
      <c r="K216">
        <v>5</v>
      </c>
      <c r="L216" t="s">
        <v>4282</v>
      </c>
      <c r="M216" t="s">
        <v>4280</v>
      </c>
      <c r="N216" s="3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 s="3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4283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 s="3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3068</v>
      </c>
      <c r="I219" t="s">
        <v>3071</v>
      </c>
      <c r="J219" t="s">
        <v>3291</v>
      </c>
      <c r="K219">
        <v>9</v>
      </c>
      <c r="L219" t="s">
        <v>4282</v>
      </c>
      <c r="M219" t="s">
        <v>4281</v>
      </c>
      <c r="N219" s="3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 s="3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 s="3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 s="3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 s="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4283</v>
      </c>
      <c r="I224" t="s">
        <v>3069</v>
      </c>
      <c r="J224" t="s">
        <v>3296</v>
      </c>
      <c r="K224">
        <v>8</v>
      </c>
      <c r="L224" t="s">
        <v>4282</v>
      </c>
      <c r="M224" t="s">
        <v>4277</v>
      </c>
      <c r="N224" s="3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 s="3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 s="3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 s="3">
        <v>821.88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3067</v>
      </c>
      <c r="I228" t="s">
        <v>3072</v>
      </c>
      <c r="J228" t="s">
        <v>3300</v>
      </c>
      <c r="K228">
        <v>8</v>
      </c>
      <c r="L228" t="s">
        <v>4282</v>
      </c>
      <c r="M228" t="s">
        <v>4277</v>
      </c>
      <c r="N228" s="3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4283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 s="3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3066</v>
      </c>
      <c r="I230" t="s">
        <v>3070</v>
      </c>
      <c r="J230" t="s">
        <v>3302</v>
      </c>
      <c r="K230">
        <v>8</v>
      </c>
      <c r="L230" t="s">
        <v>4282</v>
      </c>
      <c r="M230" t="s">
        <v>4277</v>
      </c>
      <c r="N230" s="3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 s="3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 s="3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 s="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 s="3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 s="3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 s="3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 s="3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 s="3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 s="3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 s="3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4283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 s="3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4283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 s="3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4283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 s="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4283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 s="3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4283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 s="3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 s="3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4283</v>
      </c>
      <c r="I247" t="s">
        <v>3071</v>
      </c>
      <c r="J247" t="s">
        <v>3319</v>
      </c>
      <c r="K247">
        <v>1</v>
      </c>
      <c r="L247" t="s">
        <v>4282</v>
      </c>
      <c r="M247" t="s">
        <v>4280</v>
      </c>
      <c r="N247" s="3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 s="3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3067</v>
      </c>
      <c r="I249" t="s">
        <v>3069</v>
      </c>
      <c r="J249" t="s">
        <v>3321</v>
      </c>
      <c r="K249">
        <v>4</v>
      </c>
      <c r="L249" t="s">
        <v>4282</v>
      </c>
      <c r="M249" t="s">
        <v>4279</v>
      </c>
      <c r="N249" s="3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 s="3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 s="3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 s="3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3068</v>
      </c>
      <c r="I253" t="s">
        <v>3070</v>
      </c>
      <c r="J253" t="s">
        <v>3325</v>
      </c>
      <c r="K253">
        <v>9</v>
      </c>
      <c r="L253" t="s">
        <v>4282</v>
      </c>
      <c r="M253" t="s">
        <v>4279</v>
      </c>
      <c r="N253" s="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 s="3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 s="3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4283</v>
      </c>
      <c r="I256" t="s">
        <v>3072</v>
      </c>
      <c r="J256" t="s">
        <v>3328</v>
      </c>
      <c r="K256">
        <v>5</v>
      </c>
      <c r="L256" t="s">
        <v>4282</v>
      </c>
      <c r="M256" t="s">
        <v>4277</v>
      </c>
      <c r="N256" s="3">
        <v>789.57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 s="3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 s="3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 s="3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4283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 s="3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 s="3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3069</v>
      </c>
      <c r="J262" t="s">
        <v>3334</v>
      </c>
      <c r="K262">
        <v>3</v>
      </c>
      <c r="L262" t="s">
        <v>4282</v>
      </c>
      <c r="M262" t="s">
        <v>4281</v>
      </c>
      <c r="N262" s="3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 s="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 s="3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 s="3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 s="3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 s="3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 s="3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3072</v>
      </c>
      <c r="J269" t="s">
        <v>3341</v>
      </c>
      <c r="K269">
        <v>9</v>
      </c>
      <c r="L269" t="s">
        <v>4282</v>
      </c>
      <c r="M269" t="s">
        <v>4280</v>
      </c>
      <c r="N269" s="3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 s="3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 s="3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 s="3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 s="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4283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 s="3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4283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 s="3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 s="3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 s="3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 s="3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 s="3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 s="3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4283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 s="3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 s="3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3068</v>
      </c>
      <c r="I283" t="s">
        <v>3073</v>
      </c>
      <c r="J283" t="s">
        <v>3355</v>
      </c>
      <c r="K283">
        <v>9</v>
      </c>
      <c r="L283" t="s">
        <v>4282</v>
      </c>
      <c r="M283" t="s">
        <v>4278</v>
      </c>
      <c r="N283" s="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 s="3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3068</v>
      </c>
      <c r="I285" t="s">
        <v>3069</v>
      </c>
      <c r="J285" t="s">
        <v>3357</v>
      </c>
      <c r="K285">
        <v>6</v>
      </c>
      <c r="L285" t="s">
        <v>4282</v>
      </c>
      <c r="M285" t="s">
        <v>4281</v>
      </c>
      <c r="N285" s="3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 s="3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4283</v>
      </c>
      <c r="I287" t="s">
        <v>3072</v>
      </c>
      <c r="J287" t="s">
        <v>3359</v>
      </c>
      <c r="K287">
        <v>3</v>
      </c>
      <c r="L287" t="s">
        <v>4282</v>
      </c>
      <c r="M287" t="s">
        <v>4281</v>
      </c>
      <c r="N287" s="3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 s="3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4283</v>
      </c>
      <c r="I289" t="s">
        <v>3069</v>
      </c>
      <c r="J289" t="s">
        <v>3361</v>
      </c>
      <c r="K289">
        <v>5</v>
      </c>
      <c r="L289" t="s">
        <v>4282</v>
      </c>
      <c r="M289" t="s">
        <v>4280</v>
      </c>
      <c r="N289" s="3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 s="3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 s="3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 s="3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 s="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3066</v>
      </c>
      <c r="I294" t="s">
        <v>3072</v>
      </c>
      <c r="J294" t="s">
        <v>3366</v>
      </c>
      <c r="K294">
        <v>5</v>
      </c>
      <c r="L294" t="s">
        <v>4282</v>
      </c>
      <c r="M294" t="s">
        <v>4280</v>
      </c>
      <c r="N294" s="3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3067</v>
      </c>
      <c r="I295" t="s">
        <v>3071</v>
      </c>
      <c r="J295" t="s">
        <v>3367</v>
      </c>
      <c r="K295">
        <v>9</v>
      </c>
      <c r="L295" t="s">
        <v>4282</v>
      </c>
      <c r="M295" t="s">
        <v>4277</v>
      </c>
      <c r="N295" s="3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4283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 s="3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 s="3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 s="3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 s="3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4283</v>
      </c>
      <c r="I300" t="s">
        <v>3070</v>
      </c>
      <c r="J300" t="s">
        <v>3372</v>
      </c>
      <c r="K300">
        <v>6</v>
      </c>
      <c r="L300" t="s">
        <v>4282</v>
      </c>
      <c r="M300" t="s">
        <v>4279</v>
      </c>
      <c r="N300" s="3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 s="3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 s="3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 s="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 s="3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3071</v>
      </c>
      <c r="J305" t="s">
        <v>3377</v>
      </c>
      <c r="K305">
        <v>1</v>
      </c>
      <c r="L305" t="s">
        <v>4282</v>
      </c>
      <c r="M305" t="s">
        <v>4281</v>
      </c>
      <c r="N305" s="3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 s="3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 s="3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 s="3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4283</v>
      </c>
      <c r="I309" t="s">
        <v>3072</v>
      </c>
      <c r="J309" t="s">
        <v>3381</v>
      </c>
      <c r="K309">
        <v>4</v>
      </c>
      <c r="L309" t="s">
        <v>4282</v>
      </c>
      <c r="M309" t="s">
        <v>4279</v>
      </c>
      <c r="N309" s="3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 s="3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 s="3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4283</v>
      </c>
      <c r="I312" t="s">
        <v>3069</v>
      </c>
      <c r="J312" t="s">
        <v>3384</v>
      </c>
      <c r="K312">
        <v>4</v>
      </c>
      <c r="L312" t="s">
        <v>4282</v>
      </c>
      <c r="M312" t="s">
        <v>4278</v>
      </c>
      <c r="N312" s="3">
        <v>397.44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4283</v>
      </c>
      <c r="I313" t="s">
        <v>3071</v>
      </c>
      <c r="J313" t="s">
        <v>3385</v>
      </c>
      <c r="K313">
        <v>8</v>
      </c>
      <c r="L313" t="s">
        <v>4282</v>
      </c>
      <c r="M313" t="s">
        <v>4277</v>
      </c>
      <c r="N313" s="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 s="3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 s="3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4283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 s="3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4283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 s="3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 s="3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4283</v>
      </c>
      <c r="I319" t="s">
        <v>3071</v>
      </c>
      <c r="J319" t="s">
        <v>3391</v>
      </c>
      <c r="K319">
        <v>5</v>
      </c>
      <c r="L319" t="s">
        <v>4282</v>
      </c>
      <c r="M319" t="s">
        <v>4277</v>
      </c>
      <c r="N319" s="3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 s="3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3068</v>
      </c>
      <c r="I321" t="s">
        <v>3071</v>
      </c>
      <c r="J321" t="s">
        <v>3393</v>
      </c>
      <c r="K321">
        <v>6</v>
      </c>
      <c r="L321" t="s">
        <v>4282</v>
      </c>
      <c r="M321" t="s">
        <v>4277</v>
      </c>
      <c r="N321" s="3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 s="3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 s="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 s="3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 s="3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3071</v>
      </c>
      <c r="J326" t="s">
        <v>3398</v>
      </c>
      <c r="K326">
        <v>5</v>
      </c>
      <c r="L326" t="s">
        <v>4282</v>
      </c>
      <c r="M326" t="s">
        <v>4278</v>
      </c>
      <c r="N326" s="3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3066</v>
      </c>
      <c r="I327" t="s">
        <v>3069</v>
      </c>
      <c r="J327" t="s">
        <v>3399</v>
      </c>
      <c r="K327">
        <v>8</v>
      </c>
      <c r="L327" t="s">
        <v>4282</v>
      </c>
      <c r="M327" t="s">
        <v>4278</v>
      </c>
      <c r="N327" s="3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 s="3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 s="3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4283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 s="3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3066</v>
      </c>
      <c r="I331" t="s">
        <v>3069</v>
      </c>
      <c r="J331" t="s">
        <v>3403</v>
      </c>
      <c r="K331">
        <v>6</v>
      </c>
      <c r="L331" t="s">
        <v>4282</v>
      </c>
      <c r="M331" t="s">
        <v>4281</v>
      </c>
      <c r="N331" s="3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 s="3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4283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 s="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 s="3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 s="3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4283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 s="3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3067</v>
      </c>
      <c r="I337" t="s">
        <v>3069</v>
      </c>
      <c r="J337" t="s">
        <v>3409</v>
      </c>
      <c r="K337">
        <v>4</v>
      </c>
      <c r="L337" t="s">
        <v>4282</v>
      </c>
      <c r="M337" t="s">
        <v>4279</v>
      </c>
      <c r="N337" s="3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 s="3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 s="3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3069</v>
      </c>
      <c r="J340" t="s">
        <v>3412</v>
      </c>
      <c r="K340">
        <v>10</v>
      </c>
      <c r="L340" t="s">
        <v>4282</v>
      </c>
      <c r="M340" t="s">
        <v>4278</v>
      </c>
      <c r="N340" s="3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4283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 s="3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3068</v>
      </c>
      <c r="I342" t="s">
        <v>3070</v>
      </c>
      <c r="J342" t="s">
        <v>3414</v>
      </c>
      <c r="K342">
        <v>8</v>
      </c>
      <c r="L342" t="s">
        <v>4282</v>
      </c>
      <c r="M342" t="s">
        <v>4279</v>
      </c>
      <c r="N342" s="3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 s="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3067</v>
      </c>
      <c r="I344" t="s">
        <v>3071</v>
      </c>
      <c r="J344" t="s">
        <v>3416</v>
      </c>
      <c r="K344">
        <v>5</v>
      </c>
      <c r="L344" t="s">
        <v>4282</v>
      </c>
      <c r="M344" t="s">
        <v>4278</v>
      </c>
      <c r="N344" s="3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 s="3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4283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 s="3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 s="3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3068</v>
      </c>
      <c r="I348" t="s">
        <v>3073</v>
      </c>
      <c r="J348" t="s">
        <v>3420</v>
      </c>
      <c r="K348">
        <v>6</v>
      </c>
      <c r="L348" t="s">
        <v>4282</v>
      </c>
      <c r="M348" t="s">
        <v>4278</v>
      </c>
      <c r="N348" s="3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 s="3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 s="3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 s="3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4283</v>
      </c>
      <c r="I352" t="s">
        <v>3069</v>
      </c>
      <c r="J352" t="s">
        <v>3424</v>
      </c>
      <c r="K352">
        <v>6</v>
      </c>
      <c r="L352" t="s">
        <v>4282</v>
      </c>
      <c r="M352" t="s">
        <v>4277</v>
      </c>
      <c r="N352" s="3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3072</v>
      </c>
      <c r="J353" t="s">
        <v>3425</v>
      </c>
      <c r="K353">
        <v>4</v>
      </c>
      <c r="L353" t="s">
        <v>4282</v>
      </c>
      <c r="M353" t="s">
        <v>4277</v>
      </c>
      <c r="N353" s="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 s="3">
        <v>869.8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4283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 s="3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3069</v>
      </c>
      <c r="J356" t="s">
        <v>3428</v>
      </c>
      <c r="K356">
        <v>4</v>
      </c>
      <c r="L356" t="s">
        <v>4282</v>
      </c>
      <c r="M356" t="s">
        <v>4277</v>
      </c>
      <c r="N356" s="3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 s="3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 s="3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 s="3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4283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 s="3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 s="3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3068</v>
      </c>
      <c r="I362" t="s">
        <v>3073</v>
      </c>
      <c r="J362" t="s">
        <v>3434</v>
      </c>
      <c r="K362">
        <v>8</v>
      </c>
      <c r="L362" t="s">
        <v>4282</v>
      </c>
      <c r="M362" t="s">
        <v>4277</v>
      </c>
      <c r="N362" s="3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 s="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 s="3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 s="3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 s="3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 s="3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3073</v>
      </c>
      <c r="J368" t="s">
        <v>3440</v>
      </c>
      <c r="K368">
        <v>8</v>
      </c>
      <c r="L368" t="s">
        <v>4282</v>
      </c>
      <c r="M368" t="s">
        <v>4278</v>
      </c>
      <c r="N368" s="3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 s="3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3066</v>
      </c>
      <c r="I370" t="s">
        <v>3070</v>
      </c>
      <c r="J370" t="s">
        <v>3442</v>
      </c>
      <c r="K370">
        <v>6</v>
      </c>
      <c r="L370" t="s">
        <v>4282</v>
      </c>
      <c r="M370" t="s">
        <v>4281</v>
      </c>
      <c r="N370" s="3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 s="3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4283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 s="3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 s="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3068</v>
      </c>
      <c r="I374" t="s">
        <v>3071</v>
      </c>
      <c r="J374" t="s">
        <v>3446</v>
      </c>
      <c r="K374">
        <v>4</v>
      </c>
      <c r="L374" t="s">
        <v>4282</v>
      </c>
      <c r="M374" t="s">
        <v>4278</v>
      </c>
      <c r="N374" s="3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 s="3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 s="3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4283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 s="3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 s="3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4283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 s="3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 s="3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4283</v>
      </c>
      <c r="I381" t="s">
        <v>3069</v>
      </c>
      <c r="J381" t="s">
        <v>3453</v>
      </c>
      <c r="K381">
        <v>6</v>
      </c>
      <c r="L381" t="s">
        <v>4282</v>
      </c>
      <c r="M381" t="s">
        <v>4281</v>
      </c>
      <c r="N381" s="3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 s="3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 s="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 s="3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 s="3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 s="3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 s="3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4283</v>
      </c>
      <c r="I388" t="s">
        <v>3071</v>
      </c>
      <c r="J388" t="s">
        <v>3460</v>
      </c>
      <c r="K388">
        <v>4</v>
      </c>
      <c r="L388" t="s">
        <v>4282</v>
      </c>
      <c r="M388" t="s">
        <v>4279</v>
      </c>
      <c r="N388" s="3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 s="3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 s="3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 s="3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 s="3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 s="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4283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 s="3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3066</v>
      </c>
      <c r="I395" t="s">
        <v>3071</v>
      </c>
      <c r="J395" t="s">
        <v>3467</v>
      </c>
      <c r="K395">
        <v>3</v>
      </c>
      <c r="L395" t="s">
        <v>4282</v>
      </c>
      <c r="M395" t="s">
        <v>4281</v>
      </c>
      <c r="N395" s="3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3067</v>
      </c>
      <c r="I396" t="s">
        <v>3069</v>
      </c>
      <c r="J396" t="s">
        <v>3468</v>
      </c>
      <c r="K396">
        <v>10</v>
      </c>
      <c r="L396" t="s">
        <v>4282</v>
      </c>
      <c r="M396" t="s">
        <v>4280</v>
      </c>
      <c r="N396" s="3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 s="3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4283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 s="3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4283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 s="3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 s="3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 s="3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 s="3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3071</v>
      </c>
      <c r="J403" t="s">
        <v>3475</v>
      </c>
      <c r="K403">
        <v>6</v>
      </c>
      <c r="L403" t="s">
        <v>4282</v>
      </c>
      <c r="M403" t="s">
        <v>4278</v>
      </c>
      <c r="N403" s="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3067</v>
      </c>
      <c r="I404" t="s">
        <v>3069</v>
      </c>
      <c r="J404" t="s">
        <v>3476</v>
      </c>
      <c r="K404">
        <v>5</v>
      </c>
      <c r="L404" t="s">
        <v>4282</v>
      </c>
      <c r="M404" t="s">
        <v>4278</v>
      </c>
      <c r="N404" s="3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4283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 s="3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3068</v>
      </c>
      <c r="I406" t="s">
        <v>3072</v>
      </c>
      <c r="J406" t="s">
        <v>3478</v>
      </c>
      <c r="K406">
        <v>6</v>
      </c>
      <c r="L406" t="s">
        <v>4282</v>
      </c>
      <c r="M406" t="s">
        <v>4277</v>
      </c>
      <c r="N406" s="3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4283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 s="3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 s="3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 s="3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4283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 s="3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4283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 s="3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3069</v>
      </c>
      <c r="J412" t="s">
        <v>3484</v>
      </c>
      <c r="K412">
        <v>5</v>
      </c>
      <c r="L412" t="s">
        <v>4282</v>
      </c>
      <c r="M412" t="s">
        <v>4279</v>
      </c>
      <c r="N412" s="3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4283</v>
      </c>
      <c r="I413" t="s">
        <v>3069</v>
      </c>
      <c r="J413" t="s">
        <v>3485</v>
      </c>
      <c r="K413">
        <v>5</v>
      </c>
      <c r="L413" t="s">
        <v>4282</v>
      </c>
      <c r="M413" t="s">
        <v>4280</v>
      </c>
      <c r="N413" s="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3066</v>
      </c>
      <c r="I414" t="s">
        <v>3071</v>
      </c>
      <c r="J414" t="s">
        <v>3486</v>
      </c>
      <c r="K414">
        <v>10</v>
      </c>
      <c r="L414" t="s">
        <v>4282</v>
      </c>
      <c r="M414" t="s">
        <v>4280</v>
      </c>
      <c r="N414" s="3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4283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 s="3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 s="3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 s="3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 s="3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4283</v>
      </c>
      <c r="I419" t="s">
        <v>3070</v>
      </c>
      <c r="J419" t="s">
        <v>3491</v>
      </c>
      <c r="K419">
        <v>5</v>
      </c>
      <c r="L419" t="s">
        <v>4282</v>
      </c>
      <c r="M419" t="s">
        <v>4281</v>
      </c>
      <c r="N419" s="3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4283</v>
      </c>
      <c r="I420" t="s">
        <v>3070</v>
      </c>
      <c r="J420" t="s">
        <v>3492</v>
      </c>
      <c r="K420">
        <v>3</v>
      </c>
      <c r="L420" t="s">
        <v>4282</v>
      </c>
      <c r="M420" t="s">
        <v>4280</v>
      </c>
      <c r="N420" s="3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 s="3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 s="3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3070</v>
      </c>
      <c r="J423" t="s">
        <v>3495</v>
      </c>
      <c r="K423">
        <v>5</v>
      </c>
      <c r="L423" t="s">
        <v>4282</v>
      </c>
      <c r="M423" t="s">
        <v>4279</v>
      </c>
      <c r="N423" s="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 s="3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 s="3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3068</v>
      </c>
      <c r="I426" t="s">
        <v>3073</v>
      </c>
      <c r="J426" t="s">
        <v>3498</v>
      </c>
      <c r="K426">
        <v>10</v>
      </c>
      <c r="L426" t="s">
        <v>4282</v>
      </c>
      <c r="M426" t="s">
        <v>4279</v>
      </c>
      <c r="N426" s="3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 s="3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3068</v>
      </c>
      <c r="I428" t="s">
        <v>3070</v>
      </c>
      <c r="J428" t="s">
        <v>3500</v>
      </c>
      <c r="K428">
        <v>10</v>
      </c>
      <c r="L428" t="s">
        <v>4282</v>
      </c>
      <c r="M428" t="s">
        <v>4280</v>
      </c>
      <c r="N428" s="3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 s="3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4283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 s="3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 s="3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 s="3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 s="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3066</v>
      </c>
      <c r="I434" t="s">
        <v>3071</v>
      </c>
      <c r="J434" t="s">
        <v>3506</v>
      </c>
      <c r="K434">
        <v>6</v>
      </c>
      <c r="L434" t="s">
        <v>4282</v>
      </c>
      <c r="M434" t="s">
        <v>4278</v>
      </c>
      <c r="N434" s="3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 s="3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3066</v>
      </c>
      <c r="I436" t="s">
        <v>3071</v>
      </c>
      <c r="J436" t="s">
        <v>3508</v>
      </c>
      <c r="K436">
        <v>6</v>
      </c>
      <c r="L436" t="s">
        <v>4282</v>
      </c>
      <c r="M436" t="s">
        <v>4280</v>
      </c>
      <c r="N436" s="3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 s="3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4283</v>
      </c>
      <c r="I438" t="s">
        <v>3073</v>
      </c>
      <c r="J438" t="s">
        <v>3510</v>
      </c>
      <c r="K438">
        <v>5</v>
      </c>
      <c r="L438" t="s">
        <v>4282</v>
      </c>
      <c r="M438" t="s">
        <v>4281</v>
      </c>
      <c r="N438" s="3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4283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 s="3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 s="3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4283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 s="3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 s="3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 s="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 s="3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3068</v>
      </c>
      <c r="I445" t="s">
        <v>3071</v>
      </c>
      <c r="J445" t="s">
        <v>3517</v>
      </c>
      <c r="K445">
        <v>6</v>
      </c>
      <c r="L445" t="s">
        <v>4282</v>
      </c>
      <c r="M445" t="s">
        <v>4280</v>
      </c>
      <c r="N445" s="3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4283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 s="3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 s="3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4283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 s="3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3068</v>
      </c>
      <c r="I449" t="s">
        <v>3071</v>
      </c>
      <c r="J449" t="s">
        <v>3521</v>
      </c>
      <c r="K449">
        <v>2</v>
      </c>
      <c r="L449" t="s">
        <v>4282</v>
      </c>
      <c r="M449" t="s">
        <v>4280</v>
      </c>
      <c r="N449" s="3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 s="3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4283</v>
      </c>
      <c r="I451" t="s">
        <v>3073</v>
      </c>
      <c r="J451" t="s">
        <v>3523</v>
      </c>
      <c r="K451">
        <v>3</v>
      </c>
      <c r="L451" t="s">
        <v>4282</v>
      </c>
      <c r="M451" t="s">
        <v>4277</v>
      </c>
      <c r="N451" s="3">
        <v>759.15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 s="3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 s="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 s="3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 s="3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 s="3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 s="3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 s="3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4283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 s="3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 s="3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3066</v>
      </c>
      <c r="I461" t="s">
        <v>3071</v>
      </c>
      <c r="J461" t="s">
        <v>3533</v>
      </c>
      <c r="K461">
        <v>2</v>
      </c>
      <c r="L461" t="s">
        <v>4282</v>
      </c>
      <c r="M461" t="s">
        <v>4277</v>
      </c>
      <c r="N461" s="3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 s="3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 s="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4283</v>
      </c>
      <c r="I464" t="s">
        <v>3070</v>
      </c>
      <c r="J464" t="s">
        <v>3536</v>
      </c>
      <c r="K464">
        <v>1</v>
      </c>
      <c r="L464" t="s">
        <v>4282</v>
      </c>
      <c r="M464" t="s">
        <v>4278</v>
      </c>
      <c r="N464" s="3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 s="3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4283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 s="3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3067</v>
      </c>
      <c r="I467" t="s">
        <v>3070</v>
      </c>
      <c r="J467" t="s">
        <v>3539</v>
      </c>
      <c r="K467">
        <v>8</v>
      </c>
      <c r="L467" t="s">
        <v>4282</v>
      </c>
      <c r="M467" t="s">
        <v>4281</v>
      </c>
      <c r="N467" s="3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 s="3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 s="3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 s="3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3068</v>
      </c>
      <c r="I471" t="s">
        <v>3070</v>
      </c>
      <c r="J471" t="s">
        <v>3543</v>
      </c>
      <c r="K471">
        <v>5</v>
      </c>
      <c r="L471" t="s">
        <v>4282</v>
      </c>
      <c r="M471" t="s">
        <v>4280</v>
      </c>
      <c r="N471" s="3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 s="3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4283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 s="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 s="3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4283</v>
      </c>
      <c r="I475" t="s">
        <v>3069</v>
      </c>
      <c r="J475" t="s">
        <v>3547</v>
      </c>
      <c r="K475">
        <v>4</v>
      </c>
      <c r="L475" t="s">
        <v>4282</v>
      </c>
      <c r="M475" t="s">
        <v>4280</v>
      </c>
      <c r="N475" s="3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 s="3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 s="3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4283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 s="3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4283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 s="3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 s="3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3066</v>
      </c>
      <c r="I481" t="s">
        <v>3073</v>
      </c>
      <c r="J481" t="s">
        <v>3553</v>
      </c>
      <c r="K481">
        <v>8</v>
      </c>
      <c r="L481" t="s">
        <v>4282</v>
      </c>
      <c r="M481" t="s">
        <v>4281</v>
      </c>
      <c r="N481" s="3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 s="3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 s="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4283</v>
      </c>
      <c r="I484" t="s">
        <v>3073</v>
      </c>
      <c r="J484" t="s">
        <v>3556</v>
      </c>
      <c r="K484">
        <v>6</v>
      </c>
      <c r="L484" t="s">
        <v>4282</v>
      </c>
      <c r="M484" t="s">
        <v>4277</v>
      </c>
      <c r="N484" s="3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 s="3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3068</v>
      </c>
      <c r="I486" t="s">
        <v>3070</v>
      </c>
      <c r="J486" t="s">
        <v>3558</v>
      </c>
      <c r="K486">
        <v>6</v>
      </c>
      <c r="L486" t="s">
        <v>4282</v>
      </c>
      <c r="M486" t="s">
        <v>4280</v>
      </c>
      <c r="N486" s="3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 s="3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 s="3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 s="3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4283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 s="3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 s="3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4283</v>
      </c>
      <c r="I492" t="s">
        <v>3070</v>
      </c>
      <c r="J492" t="s">
        <v>3564</v>
      </c>
      <c r="K492">
        <v>10</v>
      </c>
      <c r="L492" t="s">
        <v>4282</v>
      </c>
      <c r="M492" t="s">
        <v>4280</v>
      </c>
      <c r="N492" s="3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 s="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 s="3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 s="3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 s="3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 s="3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4283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 s="3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3067</v>
      </c>
      <c r="I499" t="s">
        <v>3069</v>
      </c>
      <c r="J499" t="s">
        <v>3571</v>
      </c>
      <c r="K499">
        <v>6</v>
      </c>
      <c r="L499" t="s">
        <v>4282</v>
      </c>
      <c r="M499" t="s">
        <v>4281</v>
      </c>
      <c r="N499" s="3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 s="3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 s="3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 s="3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 s="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 s="3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4283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 s="3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4283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 s="3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4283</v>
      </c>
      <c r="I507" t="s">
        <v>3069</v>
      </c>
      <c r="J507" t="s">
        <v>3579</v>
      </c>
      <c r="K507">
        <v>7</v>
      </c>
      <c r="L507" t="s">
        <v>4282</v>
      </c>
      <c r="M507" t="s">
        <v>4279</v>
      </c>
      <c r="N507" s="3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 s="3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 s="3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4283</v>
      </c>
      <c r="I510" t="s">
        <v>3072</v>
      </c>
      <c r="J510" t="s">
        <v>3582</v>
      </c>
      <c r="K510">
        <v>1</v>
      </c>
      <c r="L510" t="s">
        <v>4282</v>
      </c>
      <c r="M510" t="s">
        <v>4278</v>
      </c>
      <c r="N510" s="3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 s="3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 s="3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 s="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4283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 s="3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3067</v>
      </c>
      <c r="I515" t="s">
        <v>3069</v>
      </c>
      <c r="J515" t="s">
        <v>3587</v>
      </c>
      <c r="K515">
        <v>8</v>
      </c>
      <c r="L515" t="s">
        <v>4282</v>
      </c>
      <c r="M515" t="s">
        <v>4278</v>
      </c>
      <c r="N515" s="3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 s="3">
        <v>912.45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 s="3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3068</v>
      </c>
      <c r="I518" t="s">
        <v>3071</v>
      </c>
      <c r="J518" t="s">
        <v>3590</v>
      </c>
      <c r="K518">
        <v>8</v>
      </c>
      <c r="L518" t="s">
        <v>4282</v>
      </c>
      <c r="M518" t="s">
        <v>4280</v>
      </c>
      <c r="N518" s="3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 s="3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4283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 s="3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 s="3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3068</v>
      </c>
      <c r="I522" t="s">
        <v>3071</v>
      </c>
      <c r="J522" t="s">
        <v>3594</v>
      </c>
      <c r="K522">
        <v>5</v>
      </c>
      <c r="L522" t="s">
        <v>4282</v>
      </c>
      <c r="M522" t="s">
        <v>4278</v>
      </c>
      <c r="N522" s="3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3066</v>
      </c>
      <c r="I523" t="s">
        <v>3069</v>
      </c>
      <c r="J523" t="s">
        <v>3595</v>
      </c>
      <c r="K523">
        <v>2</v>
      </c>
      <c r="L523" t="s">
        <v>4282</v>
      </c>
      <c r="M523" t="s">
        <v>4280</v>
      </c>
      <c r="N523" s="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 s="3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 s="3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3066</v>
      </c>
      <c r="I526" t="s">
        <v>3071</v>
      </c>
      <c r="J526" t="s">
        <v>3598</v>
      </c>
      <c r="K526">
        <v>4</v>
      </c>
      <c r="L526" t="s">
        <v>4282</v>
      </c>
      <c r="M526" t="s">
        <v>4278</v>
      </c>
      <c r="N526" s="3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 s="3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 s="3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 s="3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 s="3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 s="3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4283</v>
      </c>
      <c r="I532" t="s">
        <v>3073</v>
      </c>
      <c r="J532" t="s">
        <v>3604</v>
      </c>
      <c r="K532">
        <v>9</v>
      </c>
      <c r="L532" t="s">
        <v>4282</v>
      </c>
      <c r="M532" t="s">
        <v>4281</v>
      </c>
      <c r="N532" s="3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3067</v>
      </c>
      <c r="I533" t="s">
        <v>3072</v>
      </c>
      <c r="J533" t="s">
        <v>3605</v>
      </c>
      <c r="K533">
        <v>6</v>
      </c>
      <c r="L533" t="s">
        <v>4282</v>
      </c>
      <c r="M533" t="s">
        <v>4278</v>
      </c>
      <c r="N533" s="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4283</v>
      </c>
      <c r="I534" t="s">
        <v>3072</v>
      </c>
      <c r="J534" t="s">
        <v>3606</v>
      </c>
      <c r="K534">
        <v>7</v>
      </c>
      <c r="L534" t="s">
        <v>4282</v>
      </c>
      <c r="M534" t="s">
        <v>4279</v>
      </c>
      <c r="N534" s="3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 s="3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 s="3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4283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 s="3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3068</v>
      </c>
      <c r="I538" t="s">
        <v>3071</v>
      </c>
      <c r="J538" t="s">
        <v>3610</v>
      </c>
      <c r="K538">
        <v>6</v>
      </c>
      <c r="L538" t="s">
        <v>4282</v>
      </c>
      <c r="M538" t="s">
        <v>4279</v>
      </c>
      <c r="N538" s="3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4283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 s="3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 s="3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 s="3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4283</v>
      </c>
      <c r="I542" t="s">
        <v>3073</v>
      </c>
      <c r="J542" t="s">
        <v>3614</v>
      </c>
      <c r="K542">
        <v>7</v>
      </c>
      <c r="L542" t="s">
        <v>4282</v>
      </c>
      <c r="M542" t="s">
        <v>4278</v>
      </c>
      <c r="N542" s="3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3068</v>
      </c>
      <c r="I543" t="s">
        <v>3073</v>
      </c>
      <c r="J543" t="s">
        <v>3615</v>
      </c>
      <c r="K543">
        <v>10</v>
      </c>
      <c r="L543" t="s">
        <v>4282</v>
      </c>
      <c r="M543" t="s">
        <v>4277</v>
      </c>
      <c r="N543" s="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 s="3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 s="3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 s="3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3068</v>
      </c>
      <c r="I547" t="s">
        <v>3071</v>
      </c>
      <c r="J547" t="s">
        <v>3619</v>
      </c>
      <c r="K547">
        <v>3</v>
      </c>
      <c r="L547" t="s">
        <v>4282</v>
      </c>
      <c r="M547" t="s">
        <v>4277</v>
      </c>
      <c r="N547" s="3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 s="3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4283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 s="3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4283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 s="3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 s="3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 s="3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 s="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4283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 s="3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 s="3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 s="3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3068</v>
      </c>
      <c r="I557" t="s">
        <v>3069</v>
      </c>
      <c r="J557" t="s">
        <v>3629</v>
      </c>
      <c r="K557">
        <v>2</v>
      </c>
      <c r="L557" t="s">
        <v>4282</v>
      </c>
      <c r="M557" t="s">
        <v>4280</v>
      </c>
      <c r="N557" s="3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 s="3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 s="3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4283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 s="3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 s="3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3067</v>
      </c>
      <c r="I562" t="s">
        <v>3073</v>
      </c>
      <c r="J562" t="s">
        <v>3634</v>
      </c>
      <c r="K562">
        <v>7</v>
      </c>
      <c r="L562" t="s">
        <v>4282</v>
      </c>
      <c r="M562" t="s">
        <v>4279</v>
      </c>
      <c r="N562" s="3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4283</v>
      </c>
      <c r="I563" t="s">
        <v>3069</v>
      </c>
      <c r="J563" t="s">
        <v>3635</v>
      </c>
      <c r="K563">
        <v>2</v>
      </c>
      <c r="L563" t="s">
        <v>4282</v>
      </c>
      <c r="M563" t="s">
        <v>4281</v>
      </c>
      <c r="N563" s="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 s="3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 s="3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 s="3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4283</v>
      </c>
      <c r="I567" t="s">
        <v>3073</v>
      </c>
      <c r="J567" t="s">
        <v>3639</v>
      </c>
      <c r="K567">
        <v>10</v>
      </c>
      <c r="L567" t="s">
        <v>4282</v>
      </c>
      <c r="M567" t="s">
        <v>4280</v>
      </c>
      <c r="N567" s="3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 s="3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 s="3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4283</v>
      </c>
      <c r="I570" t="s">
        <v>3072</v>
      </c>
      <c r="J570" t="s">
        <v>3642</v>
      </c>
      <c r="K570">
        <v>4</v>
      </c>
      <c r="L570" t="s">
        <v>4282</v>
      </c>
      <c r="M570" t="s">
        <v>4281</v>
      </c>
      <c r="N570" s="3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 s="3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 s="3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 s="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 s="3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3070</v>
      </c>
      <c r="J575" t="s">
        <v>3647</v>
      </c>
      <c r="K575">
        <v>7</v>
      </c>
      <c r="L575" t="s">
        <v>4282</v>
      </c>
      <c r="M575" t="s">
        <v>4277</v>
      </c>
      <c r="N575" s="3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 s="3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 s="3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3068</v>
      </c>
      <c r="I578" t="s">
        <v>3073</v>
      </c>
      <c r="J578" t="s">
        <v>3650</v>
      </c>
      <c r="K578">
        <v>8</v>
      </c>
      <c r="L578" t="s">
        <v>4282</v>
      </c>
      <c r="M578" t="s">
        <v>4280</v>
      </c>
      <c r="N578" s="3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4283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 s="3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 s="3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4283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 s="3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 s="3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4283</v>
      </c>
      <c r="I583" t="s">
        <v>3072</v>
      </c>
      <c r="J583" t="s">
        <v>3655</v>
      </c>
      <c r="K583">
        <v>1</v>
      </c>
      <c r="L583" t="s">
        <v>4282</v>
      </c>
      <c r="M583" t="s">
        <v>4278</v>
      </c>
      <c r="N583" s="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 s="3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3067</v>
      </c>
      <c r="I585" t="s">
        <v>3072</v>
      </c>
      <c r="J585" t="s">
        <v>3657</v>
      </c>
      <c r="K585">
        <v>4</v>
      </c>
      <c r="L585" t="s">
        <v>4282</v>
      </c>
      <c r="M585" t="s">
        <v>4277</v>
      </c>
      <c r="N585" s="3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4283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 s="3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 s="3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 s="3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 s="3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3066</v>
      </c>
      <c r="I590" t="s">
        <v>3072</v>
      </c>
      <c r="J590" t="s">
        <v>3662</v>
      </c>
      <c r="K590">
        <v>9</v>
      </c>
      <c r="L590" t="s">
        <v>4282</v>
      </c>
      <c r="M590" t="s">
        <v>4281</v>
      </c>
      <c r="N590" s="3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 s="3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3067</v>
      </c>
      <c r="I592" t="s">
        <v>3071</v>
      </c>
      <c r="J592" t="s">
        <v>3664</v>
      </c>
      <c r="K592">
        <v>4</v>
      </c>
      <c r="L592" t="s">
        <v>4282</v>
      </c>
      <c r="M592" t="s">
        <v>4279</v>
      </c>
      <c r="N592" s="3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 s="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4283</v>
      </c>
      <c r="I594" t="s">
        <v>3071</v>
      </c>
      <c r="J594" t="s">
        <v>3666</v>
      </c>
      <c r="K594">
        <v>4</v>
      </c>
      <c r="L594" t="s">
        <v>4282</v>
      </c>
      <c r="M594" t="s">
        <v>4281</v>
      </c>
      <c r="N594" s="3">
        <v>612.80999999999995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 s="3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3066</v>
      </c>
      <c r="I596" t="s">
        <v>3070</v>
      </c>
      <c r="J596" t="s">
        <v>3668</v>
      </c>
      <c r="K596">
        <v>7</v>
      </c>
      <c r="L596" t="s">
        <v>4282</v>
      </c>
      <c r="M596" t="s">
        <v>4279</v>
      </c>
      <c r="N596" s="3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4283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 s="3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 s="3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 s="3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3066</v>
      </c>
      <c r="I600" t="s">
        <v>3073</v>
      </c>
      <c r="J600" t="s">
        <v>3672</v>
      </c>
      <c r="K600">
        <v>5</v>
      </c>
      <c r="L600" t="s">
        <v>4282</v>
      </c>
      <c r="M600" t="s">
        <v>4280</v>
      </c>
      <c r="N600" s="3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4283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 s="3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 s="3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3066</v>
      </c>
      <c r="I603" t="s">
        <v>3069</v>
      </c>
      <c r="J603" t="s">
        <v>3675</v>
      </c>
      <c r="K603">
        <v>10</v>
      </c>
      <c r="L603" t="s">
        <v>4282</v>
      </c>
      <c r="M603" t="s">
        <v>4278</v>
      </c>
      <c r="N603" s="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4283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 s="3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 s="3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3072</v>
      </c>
      <c r="J606" t="s">
        <v>3678</v>
      </c>
      <c r="K606">
        <v>6</v>
      </c>
      <c r="L606" t="s">
        <v>4282</v>
      </c>
      <c r="M606" t="s">
        <v>4280</v>
      </c>
      <c r="N606" s="3">
        <v>97.86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 s="3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 s="3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 s="3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4283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 s="3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 s="3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 s="3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 s="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3067</v>
      </c>
      <c r="I614" t="s">
        <v>3070</v>
      </c>
      <c r="J614" t="s">
        <v>3686</v>
      </c>
      <c r="K614">
        <v>8</v>
      </c>
      <c r="L614" t="s">
        <v>4282</v>
      </c>
      <c r="M614" t="s">
        <v>4281</v>
      </c>
      <c r="N614" s="3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4283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 s="3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3067</v>
      </c>
      <c r="I616" t="s">
        <v>3070</v>
      </c>
      <c r="J616" t="s">
        <v>3688</v>
      </c>
      <c r="K616">
        <v>3</v>
      </c>
      <c r="L616" t="s">
        <v>4282</v>
      </c>
      <c r="M616" t="s">
        <v>4278</v>
      </c>
      <c r="N616" s="3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 s="3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 s="3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4283</v>
      </c>
      <c r="I619" t="s">
        <v>3070</v>
      </c>
      <c r="J619" t="s">
        <v>3691</v>
      </c>
      <c r="K619">
        <v>4</v>
      </c>
      <c r="L619" t="s">
        <v>4282</v>
      </c>
      <c r="M619" t="s">
        <v>4278</v>
      </c>
      <c r="N619" s="3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3071</v>
      </c>
      <c r="J620" t="s">
        <v>3692</v>
      </c>
      <c r="K620">
        <v>5</v>
      </c>
      <c r="L620" t="s">
        <v>4282</v>
      </c>
      <c r="M620" t="s">
        <v>4277</v>
      </c>
      <c r="N620" s="3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3067</v>
      </c>
      <c r="I621" t="s">
        <v>3073</v>
      </c>
      <c r="J621" t="s">
        <v>3693</v>
      </c>
      <c r="K621">
        <v>2</v>
      </c>
      <c r="L621" t="s">
        <v>4282</v>
      </c>
      <c r="M621" t="s">
        <v>4278</v>
      </c>
      <c r="N621" s="3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 s="3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 s="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3066</v>
      </c>
      <c r="I624" t="s">
        <v>3071</v>
      </c>
      <c r="J624" t="s">
        <v>3696</v>
      </c>
      <c r="K624">
        <v>7</v>
      </c>
      <c r="L624" t="s">
        <v>4282</v>
      </c>
      <c r="M624" t="s">
        <v>4280</v>
      </c>
      <c r="N624" s="3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 s="3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3072</v>
      </c>
      <c r="J626" t="s">
        <v>3698</v>
      </c>
      <c r="K626">
        <v>6</v>
      </c>
      <c r="L626" t="s">
        <v>4282</v>
      </c>
      <c r="M626" t="s">
        <v>4279</v>
      </c>
      <c r="N626" s="3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 s="3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4283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 s="3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4283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 s="3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 s="3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4283</v>
      </c>
      <c r="I631" t="s">
        <v>3073</v>
      </c>
      <c r="J631" t="s">
        <v>3703</v>
      </c>
      <c r="K631">
        <v>3</v>
      </c>
      <c r="L631" t="s">
        <v>4282</v>
      </c>
      <c r="M631" t="s">
        <v>4278</v>
      </c>
      <c r="N631" s="3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3070</v>
      </c>
      <c r="J632" t="s">
        <v>3704</v>
      </c>
      <c r="K632">
        <v>10</v>
      </c>
      <c r="L632" t="s">
        <v>4282</v>
      </c>
      <c r="M632" t="s">
        <v>4277</v>
      </c>
      <c r="N632" s="3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 s="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 s="3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 s="3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 s="3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3068</v>
      </c>
      <c r="I637" t="s">
        <v>3071</v>
      </c>
      <c r="J637" t="s">
        <v>3709</v>
      </c>
      <c r="K637">
        <v>6</v>
      </c>
      <c r="L637" t="s">
        <v>4282</v>
      </c>
      <c r="M637" t="s">
        <v>4280</v>
      </c>
      <c r="N637" s="3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 s="3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 s="3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4283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 s="3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3068</v>
      </c>
      <c r="I641" t="s">
        <v>3070</v>
      </c>
      <c r="J641" t="s">
        <v>3713</v>
      </c>
      <c r="K641">
        <v>5</v>
      </c>
      <c r="L641" t="s">
        <v>4282</v>
      </c>
      <c r="M641" t="s">
        <v>4278</v>
      </c>
      <c r="N641" s="3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 s="3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 s="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 s="3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 s="3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 s="3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 s="3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 s="3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 s="3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4283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 s="3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 s="3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 s="3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3073</v>
      </c>
      <c r="J653" t="s">
        <v>3725</v>
      </c>
      <c r="K653">
        <v>5</v>
      </c>
      <c r="L653" t="s">
        <v>4282</v>
      </c>
      <c r="M653" t="s">
        <v>4281</v>
      </c>
      <c r="N653" s="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4283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 s="3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 s="3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3071</v>
      </c>
      <c r="J656" t="s">
        <v>3728</v>
      </c>
      <c r="K656">
        <v>8</v>
      </c>
      <c r="L656" t="s">
        <v>4282</v>
      </c>
      <c r="M656" t="s">
        <v>4277</v>
      </c>
      <c r="N656" s="3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 s="3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 s="3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 s="3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 s="3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 s="3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 s="3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 s="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3068</v>
      </c>
      <c r="I664" t="s">
        <v>3071</v>
      </c>
      <c r="J664" t="s">
        <v>3736</v>
      </c>
      <c r="K664">
        <v>3</v>
      </c>
      <c r="L664" t="s">
        <v>4282</v>
      </c>
      <c r="M664" t="s">
        <v>4280</v>
      </c>
      <c r="N664" s="3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 s="3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3068</v>
      </c>
      <c r="I666" t="s">
        <v>3069</v>
      </c>
      <c r="J666" t="s">
        <v>3738</v>
      </c>
      <c r="K666">
        <v>5</v>
      </c>
      <c r="L666" t="s">
        <v>4282</v>
      </c>
      <c r="M666" t="s">
        <v>4280</v>
      </c>
      <c r="N666" s="3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4283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 s="3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3066</v>
      </c>
      <c r="I668" t="s">
        <v>3070</v>
      </c>
      <c r="J668" t="s">
        <v>3740</v>
      </c>
      <c r="K668">
        <v>4</v>
      </c>
      <c r="L668" t="s">
        <v>4282</v>
      </c>
      <c r="M668" t="s">
        <v>4279</v>
      </c>
      <c r="N668" s="3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 s="3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 s="3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3070</v>
      </c>
      <c r="J671" t="s">
        <v>3743</v>
      </c>
      <c r="K671">
        <v>5</v>
      </c>
      <c r="L671" t="s">
        <v>4282</v>
      </c>
      <c r="M671" t="s">
        <v>4278</v>
      </c>
      <c r="N671" s="3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 s="3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 s="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 s="3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 s="3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 s="3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3073</v>
      </c>
      <c r="J677" t="s">
        <v>3749</v>
      </c>
      <c r="K677">
        <v>5</v>
      </c>
      <c r="L677" t="s">
        <v>4282</v>
      </c>
      <c r="M677" t="s">
        <v>4279</v>
      </c>
      <c r="N677" s="3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 s="3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4283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 s="3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 s="3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4283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 s="3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3066</v>
      </c>
      <c r="I682" t="s">
        <v>3071</v>
      </c>
      <c r="J682" t="s">
        <v>3754</v>
      </c>
      <c r="K682">
        <v>3</v>
      </c>
      <c r="L682" t="s">
        <v>4282</v>
      </c>
      <c r="M682" t="s">
        <v>4280</v>
      </c>
      <c r="N682" s="3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3069</v>
      </c>
      <c r="J683" t="s">
        <v>3755</v>
      </c>
      <c r="K683">
        <v>6</v>
      </c>
      <c r="L683" t="s">
        <v>4282</v>
      </c>
      <c r="M683" t="s">
        <v>4279</v>
      </c>
      <c r="N683" s="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 s="3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 s="3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3066</v>
      </c>
      <c r="I686" t="s">
        <v>3069</v>
      </c>
      <c r="J686" t="s">
        <v>3758</v>
      </c>
      <c r="K686">
        <v>8</v>
      </c>
      <c r="L686" t="s">
        <v>4282</v>
      </c>
      <c r="M686" t="s">
        <v>4279</v>
      </c>
      <c r="N686" s="3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 s="3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 s="3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 s="3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 s="3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4283</v>
      </c>
      <c r="I691" t="s">
        <v>3069</v>
      </c>
      <c r="J691" t="s">
        <v>3763</v>
      </c>
      <c r="K691">
        <v>7</v>
      </c>
      <c r="L691" t="s">
        <v>4282</v>
      </c>
      <c r="M691" t="s">
        <v>4280</v>
      </c>
      <c r="N691" s="3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3067</v>
      </c>
      <c r="I692" t="s">
        <v>3071</v>
      </c>
      <c r="J692" t="s">
        <v>3764</v>
      </c>
      <c r="K692">
        <v>1</v>
      </c>
      <c r="L692" t="s">
        <v>4282</v>
      </c>
      <c r="M692" t="s">
        <v>4277</v>
      </c>
      <c r="N692" s="3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3068</v>
      </c>
      <c r="I693" t="s">
        <v>3069</v>
      </c>
      <c r="J693" t="s">
        <v>3765</v>
      </c>
      <c r="K693">
        <v>8</v>
      </c>
      <c r="L693" t="s">
        <v>4282</v>
      </c>
      <c r="M693" t="s">
        <v>4281</v>
      </c>
      <c r="N693" s="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 s="3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3071</v>
      </c>
      <c r="J695" t="s">
        <v>3767</v>
      </c>
      <c r="K695">
        <v>4</v>
      </c>
      <c r="L695" t="s">
        <v>4282</v>
      </c>
      <c r="M695" t="s">
        <v>4278</v>
      </c>
      <c r="N695" s="3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 s="3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4283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 s="3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 s="3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 s="3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 s="3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3067</v>
      </c>
      <c r="I701" t="s">
        <v>3070</v>
      </c>
      <c r="J701" t="s">
        <v>3773</v>
      </c>
      <c r="K701">
        <v>3</v>
      </c>
      <c r="L701" t="s">
        <v>4282</v>
      </c>
      <c r="M701" t="s">
        <v>4280</v>
      </c>
      <c r="N701" s="3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 s="3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 s="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3071</v>
      </c>
      <c r="J704" t="s">
        <v>3776</v>
      </c>
      <c r="K704">
        <v>6</v>
      </c>
      <c r="L704" t="s">
        <v>4282</v>
      </c>
      <c r="M704" t="s">
        <v>4279</v>
      </c>
      <c r="N704" s="3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 s="3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4283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 s="3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 s="3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 s="3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 s="3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 s="3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4283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 s="3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3067</v>
      </c>
      <c r="I712" t="s">
        <v>3071</v>
      </c>
      <c r="J712" t="s">
        <v>3784</v>
      </c>
      <c r="K712">
        <v>10</v>
      </c>
      <c r="L712" t="s">
        <v>4282</v>
      </c>
      <c r="M712" t="s">
        <v>4281</v>
      </c>
      <c r="N712" s="3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4283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 s="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 s="3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4283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 s="3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 s="3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4283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 s="3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 s="3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4283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 s="3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 s="3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 s="3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 s="3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3066</v>
      </c>
      <c r="I723" t="s">
        <v>3072</v>
      </c>
      <c r="J723" t="s">
        <v>3795</v>
      </c>
      <c r="K723">
        <v>2</v>
      </c>
      <c r="L723" t="s">
        <v>4282</v>
      </c>
      <c r="M723" t="s">
        <v>4279</v>
      </c>
      <c r="N723" s="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 s="3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 s="3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 s="3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3067</v>
      </c>
      <c r="I727" t="s">
        <v>3071</v>
      </c>
      <c r="J727" t="s">
        <v>3799</v>
      </c>
      <c r="K727">
        <v>5</v>
      </c>
      <c r="L727" t="s">
        <v>4282</v>
      </c>
      <c r="M727" t="s">
        <v>4278</v>
      </c>
      <c r="N727" s="3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4283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 s="3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4283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 s="3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 s="3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 s="3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 s="3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3066</v>
      </c>
      <c r="I733" t="s">
        <v>3071</v>
      </c>
      <c r="J733" t="s">
        <v>3805</v>
      </c>
      <c r="K733">
        <v>8</v>
      </c>
      <c r="L733" t="s">
        <v>4282</v>
      </c>
      <c r="M733" t="s">
        <v>4279</v>
      </c>
      <c r="N733" s="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4283</v>
      </c>
      <c r="I734" t="s">
        <v>3072</v>
      </c>
      <c r="J734" t="s">
        <v>3806</v>
      </c>
      <c r="K734">
        <v>2</v>
      </c>
      <c r="L734" t="s">
        <v>4282</v>
      </c>
      <c r="M734" t="s">
        <v>4281</v>
      </c>
      <c r="N734" s="3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 s="3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 s="3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3073</v>
      </c>
      <c r="J737" t="s">
        <v>3809</v>
      </c>
      <c r="K737">
        <v>6</v>
      </c>
      <c r="L737" t="s">
        <v>4282</v>
      </c>
      <c r="M737" t="s">
        <v>4279</v>
      </c>
      <c r="N737" s="3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 s="3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 s="3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 s="3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 s="3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3068</v>
      </c>
      <c r="I742" t="s">
        <v>3073</v>
      </c>
      <c r="J742" t="s">
        <v>3814</v>
      </c>
      <c r="K742">
        <v>7</v>
      </c>
      <c r="L742" t="s">
        <v>4282</v>
      </c>
      <c r="M742" t="s">
        <v>4281</v>
      </c>
      <c r="N742" s="3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3067</v>
      </c>
      <c r="I743" t="s">
        <v>3072</v>
      </c>
      <c r="J743" t="s">
        <v>3815</v>
      </c>
      <c r="K743">
        <v>10</v>
      </c>
      <c r="L743" t="s">
        <v>4282</v>
      </c>
      <c r="M743" t="s">
        <v>4278</v>
      </c>
      <c r="N743" s="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 s="3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 s="3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 s="3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 s="3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4283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 s="3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 s="3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 s="3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 s="3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 s="3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 s="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 s="3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 s="3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 s="3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3066</v>
      </c>
      <c r="I757" t="s">
        <v>3073</v>
      </c>
      <c r="J757" t="s">
        <v>3829</v>
      </c>
      <c r="K757">
        <v>4</v>
      </c>
      <c r="L757" t="s">
        <v>4282</v>
      </c>
      <c r="M757" t="s">
        <v>4279</v>
      </c>
      <c r="N757" s="3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3067</v>
      </c>
      <c r="I758" t="s">
        <v>3069</v>
      </c>
      <c r="J758" t="s">
        <v>3830</v>
      </c>
      <c r="K758">
        <v>6</v>
      </c>
      <c r="L758" t="s">
        <v>4282</v>
      </c>
      <c r="M758" t="s">
        <v>4281</v>
      </c>
      <c r="N758" s="3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 s="3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 s="3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 s="3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3070</v>
      </c>
      <c r="J762" t="s">
        <v>3834</v>
      </c>
      <c r="K762">
        <v>5</v>
      </c>
      <c r="L762" t="s">
        <v>4282</v>
      </c>
      <c r="M762" t="s">
        <v>4281</v>
      </c>
      <c r="N762" s="3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3072</v>
      </c>
      <c r="J763" t="s">
        <v>3835</v>
      </c>
      <c r="K763">
        <v>7</v>
      </c>
      <c r="L763" t="s">
        <v>4282</v>
      </c>
      <c r="M763" t="s">
        <v>4281</v>
      </c>
      <c r="N763" s="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 s="3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4283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 s="3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 s="3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 s="3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 s="3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3066</v>
      </c>
      <c r="I769" t="s">
        <v>3072</v>
      </c>
      <c r="J769" t="s">
        <v>3841</v>
      </c>
      <c r="K769">
        <v>7</v>
      </c>
      <c r="L769" t="s">
        <v>4282</v>
      </c>
      <c r="M769" t="s">
        <v>4277</v>
      </c>
      <c r="N769" s="3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 s="3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3068</v>
      </c>
      <c r="I771" t="s">
        <v>3072</v>
      </c>
      <c r="J771" t="s">
        <v>3843</v>
      </c>
      <c r="K771">
        <v>5</v>
      </c>
      <c r="L771" t="s">
        <v>4282</v>
      </c>
      <c r="M771" t="s">
        <v>4279</v>
      </c>
      <c r="N771" s="3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4283</v>
      </c>
      <c r="I772" t="s">
        <v>3071</v>
      </c>
      <c r="J772" t="s">
        <v>3844</v>
      </c>
      <c r="K772">
        <v>6</v>
      </c>
      <c r="L772" t="s">
        <v>4282</v>
      </c>
      <c r="M772" t="s">
        <v>4281</v>
      </c>
      <c r="N772" s="3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 s="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4283</v>
      </c>
      <c r="I774" t="s">
        <v>3072</v>
      </c>
      <c r="J774" t="s">
        <v>3846</v>
      </c>
      <c r="K774">
        <v>4</v>
      </c>
      <c r="L774" t="s">
        <v>4282</v>
      </c>
      <c r="M774" t="s">
        <v>4277</v>
      </c>
      <c r="N774" s="3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3068</v>
      </c>
      <c r="I775" t="s">
        <v>3070</v>
      </c>
      <c r="J775" t="s">
        <v>3847</v>
      </c>
      <c r="K775">
        <v>7</v>
      </c>
      <c r="L775" t="s">
        <v>4282</v>
      </c>
      <c r="M775" t="s">
        <v>4280</v>
      </c>
      <c r="N775" s="3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 s="3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4283</v>
      </c>
      <c r="I777" t="s">
        <v>3070</v>
      </c>
      <c r="J777" t="s">
        <v>3849</v>
      </c>
      <c r="K777">
        <v>5</v>
      </c>
      <c r="L777" t="s">
        <v>4282</v>
      </c>
      <c r="M777" t="s">
        <v>4281</v>
      </c>
      <c r="N777" s="3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 s="3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4283</v>
      </c>
      <c r="I779" t="s">
        <v>3070</v>
      </c>
      <c r="J779" t="s">
        <v>3851</v>
      </c>
      <c r="K779">
        <v>7</v>
      </c>
      <c r="L779" t="s">
        <v>4282</v>
      </c>
      <c r="M779" t="s">
        <v>4280</v>
      </c>
      <c r="N779" s="3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 s="3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 s="3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4283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 s="3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 s="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4283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 s="3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 s="3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 s="3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 s="3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4283</v>
      </c>
      <c r="I788" t="s">
        <v>3070</v>
      </c>
      <c r="J788" t="s">
        <v>3860</v>
      </c>
      <c r="K788">
        <v>8</v>
      </c>
      <c r="L788" t="s">
        <v>4282</v>
      </c>
      <c r="M788" t="s">
        <v>4278</v>
      </c>
      <c r="N788" s="3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3068</v>
      </c>
      <c r="I789" t="s">
        <v>3072</v>
      </c>
      <c r="J789" t="s">
        <v>3861</v>
      </c>
      <c r="K789">
        <v>7</v>
      </c>
      <c r="L789" t="s">
        <v>4282</v>
      </c>
      <c r="M789" t="s">
        <v>4281</v>
      </c>
      <c r="N789" s="3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4283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 s="3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4283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 s="3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3067</v>
      </c>
      <c r="I792" t="s">
        <v>3073</v>
      </c>
      <c r="J792" t="s">
        <v>3864</v>
      </c>
      <c r="K792">
        <v>4</v>
      </c>
      <c r="L792" t="s">
        <v>4282</v>
      </c>
      <c r="M792" t="s">
        <v>4281</v>
      </c>
      <c r="N792" s="3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3068</v>
      </c>
      <c r="I793" t="s">
        <v>3073</v>
      </c>
      <c r="J793" t="s">
        <v>3865</v>
      </c>
      <c r="K793">
        <v>8</v>
      </c>
      <c r="L793" t="s">
        <v>4282</v>
      </c>
      <c r="M793" t="s">
        <v>4279</v>
      </c>
      <c r="N793" s="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 s="3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3072</v>
      </c>
      <c r="J795" t="s">
        <v>3867</v>
      </c>
      <c r="K795">
        <v>8</v>
      </c>
      <c r="L795" t="s">
        <v>4282</v>
      </c>
      <c r="M795" t="s">
        <v>4278</v>
      </c>
      <c r="N795" s="3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4283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 s="3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4283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 s="3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 s="3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3071</v>
      </c>
      <c r="J799" t="s">
        <v>3871</v>
      </c>
      <c r="K799">
        <v>2</v>
      </c>
      <c r="L799" t="s">
        <v>4282</v>
      </c>
      <c r="M799" t="s">
        <v>4280</v>
      </c>
      <c r="N799" s="3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 s="3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 s="3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4283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 s="3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 s="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 s="3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 s="3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4283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 s="3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 s="3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4283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 s="3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4283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 s="3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3066</v>
      </c>
      <c r="I810" t="s">
        <v>3069</v>
      </c>
      <c r="J810" t="s">
        <v>3882</v>
      </c>
      <c r="K810">
        <v>3</v>
      </c>
      <c r="L810" t="s">
        <v>4282</v>
      </c>
      <c r="M810" t="s">
        <v>4281</v>
      </c>
      <c r="N810" s="3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 s="3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3066</v>
      </c>
      <c r="I812" t="s">
        <v>3070</v>
      </c>
      <c r="J812" t="s">
        <v>3884</v>
      </c>
      <c r="K812">
        <v>5</v>
      </c>
      <c r="L812" t="s">
        <v>4282</v>
      </c>
      <c r="M812" t="s">
        <v>4278</v>
      </c>
      <c r="N812" s="3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 s="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 s="3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 s="3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 s="3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 s="3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 s="3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 s="3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 s="3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 s="3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 s="3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 s="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 s="3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 s="3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 s="3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4283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 s="3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4283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 s="3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 s="3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 s="3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 s="3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 s="3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4283</v>
      </c>
      <c r="I833" t="s">
        <v>3073</v>
      </c>
      <c r="J833" t="s">
        <v>3905</v>
      </c>
      <c r="K833">
        <v>5</v>
      </c>
      <c r="L833" t="s">
        <v>4282</v>
      </c>
      <c r="M833" t="s">
        <v>4281</v>
      </c>
      <c r="N833" s="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4283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 s="3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 s="3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3068</v>
      </c>
      <c r="I836" t="s">
        <v>3071</v>
      </c>
      <c r="J836" t="s">
        <v>3908</v>
      </c>
      <c r="K836">
        <v>10</v>
      </c>
      <c r="L836" t="s">
        <v>4282</v>
      </c>
      <c r="M836" t="s">
        <v>4277</v>
      </c>
      <c r="N836" s="3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 s="3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 s="3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4283</v>
      </c>
      <c r="I839" t="s">
        <v>3072</v>
      </c>
      <c r="J839" t="s">
        <v>3911</v>
      </c>
      <c r="K839">
        <v>5</v>
      </c>
      <c r="L839" t="s">
        <v>4282</v>
      </c>
      <c r="M839" t="s">
        <v>4279</v>
      </c>
      <c r="N839" s="3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4283</v>
      </c>
      <c r="I840" t="s">
        <v>3073</v>
      </c>
      <c r="J840" t="s">
        <v>3912</v>
      </c>
      <c r="K840">
        <v>8</v>
      </c>
      <c r="L840" t="s">
        <v>4282</v>
      </c>
      <c r="M840" t="s">
        <v>4280</v>
      </c>
      <c r="N840" s="3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4283</v>
      </c>
      <c r="I841" t="s">
        <v>3070</v>
      </c>
      <c r="J841" t="s">
        <v>3913</v>
      </c>
      <c r="K841">
        <v>5</v>
      </c>
      <c r="L841" t="s">
        <v>4282</v>
      </c>
      <c r="M841" t="s">
        <v>4281</v>
      </c>
      <c r="N841" s="3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 s="3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3066</v>
      </c>
      <c r="I843" t="s">
        <v>3072</v>
      </c>
      <c r="J843" t="s">
        <v>3915</v>
      </c>
      <c r="K843">
        <v>5</v>
      </c>
      <c r="L843" t="s">
        <v>4282</v>
      </c>
      <c r="M843" t="s">
        <v>4280</v>
      </c>
      <c r="N843" s="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4283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 s="3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 s="3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4283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 s="3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 s="3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3070</v>
      </c>
      <c r="J848" t="s">
        <v>3920</v>
      </c>
      <c r="K848">
        <v>4</v>
      </c>
      <c r="L848" t="s">
        <v>4282</v>
      </c>
      <c r="M848" t="s">
        <v>4278</v>
      </c>
      <c r="N848" s="3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4283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 s="3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4283</v>
      </c>
      <c r="I850" t="s">
        <v>3069</v>
      </c>
      <c r="J850" t="s">
        <v>3922</v>
      </c>
      <c r="K850">
        <v>5</v>
      </c>
      <c r="L850" t="s">
        <v>4282</v>
      </c>
      <c r="M850" t="s">
        <v>4278</v>
      </c>
      <c r="N850" s="3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 s="3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 s="3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4283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 s="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 s="3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 s="3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 s="3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 s="3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3069</v>
      </c>
      <c r="J858" t="s">
        <v>3930</v>
      </c>
      <c r="K858">
        <v>5</v>
      </c>
      <c r="L858" t="s">
        <v>4282</v>
      </c>
      <c r="M858" t="s">
        <v>4280</v>
      </c>
      <c r="N858" s="3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4283</v>
      </c>
      <c r="I859" t="s">
        <v>3072</v>
      </c>
      <c r="J859" t="s">
        <v>3931</v>
      </c>
      <c r="K859">
        <v>4</v>
      </c>
      <c r="L859" t="s">
        <v>4282</v>
      </c>
      <c r="M859" t="s">
        <v>4277</v>
      </c>
      <c r="N859" s="3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4283</v>
      </c>
      <c r="I860" t="s">
        <v>3073</v>
      </c>
      <c r="J860" t="s">
        <v>3932</v>
      </c>
      <c r="K860">
        <v>9</v>
      </c>
      <c r="L860" t="s">
        <v>4282</v>
      </c>
      <c r="M860" t="s">
        <v>4280</v>
      </c>
      <c r="N860" s="3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 s="3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 s="3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 s="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 s="3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 s="3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 s="3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 s="3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 s="3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 s="3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3072</v>
      </c>
      <c r="J870" t="s">
        <v>3942</v>
      </c>
      <c r="K870">
        <v>7</v>
      </c>
      <c r="L870" t="s">
        <v>4282</v>
      </c>
      <c r="M870" t="s">
        <v>4280</v>
      </c>
      <c r="N870" s="3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4283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 s="3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 s="3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 s="3">
        <v>972.9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3068</v>
      </c>
      <c r="I874" t="s">
        <v>3069</v>
      </c>
      <c r="J874" t="s">
        <v>3946</v>
      </c>
      <c r="K874">
        <v>7</v>
      </c>
      <c r="L874" t="s">
        <v>4282</v>
      </c>
      <c r="M874" t="s">
        <v>4279</v>
      </c>
      <c r="N874" s="3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 s="3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 s="3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 s="3">
        <v>666.95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 s="3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 s="3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4283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 s="3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3067</v>
      </c>
      <c r="I881" t="s">
        <v>3069</v>
      </c>
      <c r="J881" t="s">
        <v>3953</v>
      </c>
      <c r="K881">
        <v>3</v>
      </c>
      <c r="L881" t="s">
        <v>4282</v>
      </c>
      <c r="M881" t="s">
        <v>4277</v>
      </c>
      <c r="N881" s="3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4283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 s="3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3066</v>
      </c>
      <c r="I883" t="s">
        <v>3073</v>
      </c>
      <c r="J883" t="s">
        <v>3955</v>
      </c>
      <c r="K883">
        <v>6</v>
      </c>
      <c r="L883" t="s">
        <v>4282</v>
      </c>
      <c r="M883" t="s">
        <v>4277</v>
      </c>
      <c r="N883" s="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 s="3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4283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 s="3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3067</v>
      </c>
      <c r="I886" t="s">
        <v>3069</v>
      </c>
      <c r="J886" t="s">
        <v>3958</v>
      </c>
      <c r="K886">
        <v>4</v>
      </c>
      <c r="L886" t="s">
        <v>4282</v>
      </c>
      <c r="M886" t="s">
        <v>4277</v>
      </c>
      <c r="N886" s="3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 s="3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3066</v>
      </c>
      <c r="I888" t="s">
        <v>3071</v>
      </c>
      <c r="J888" t="s">
        <v>3960</v>
      </c>
      <c r="K888">
        <v>1</v>
      </c>
      <c r="L888" t="s">
        <v>4282</v>
      </c>
      <c r="M888" t="s">
        <v>4281</v>
      </c>
      <c r="N888" s="3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3072</v>
      </c>
      <c r="J889" t="s">
        <v>3961</v>
      </c>
      <c r="K889">
        <v>7</v>
      </c>
      <c r="L889" t="s">
        <v>4282</v>
      </c>
      <c r="M889" t="s">
        <v>4281</v>
      </c>
      <c r="N889" s="3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3066</v>
      </c>
      <c r="I890" t="s">
        <v>3073</v>
      </c>
      <c r="J890" t="s">
        <v>3962</v>
      </c>
      <c r="K890">
        <v>3</v>
      </c>
      <c r="L890" t="s">
        <v>4282</v>
      </c>
      <c r="M890" t="s">
        <v>4277</v>
      </c>
      <c r="N890" s="3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 s="3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3073</v>
      </c>
      <c r="J892" t="s">
        <v>3964</v>
      </c>
      <c r="K892">
        <v>5</v>
      </c>
      <c r="L892" t="s">
        <v>4282</v>
      </c>
      <c r="M892" t="s">
        <v>4281</v>
      </c>
      <c r="N892" s="3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 s="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 s="3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 s="3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4283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 s="3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 s="3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 s="3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 s="3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3068</v>
      </c>
      <c r="I900" t="s">
        <v>3069</v>
      </c>
      <c r="J900" t="s">
        <v>3972</v>
      </c>
      <c r="K900">
        <v>6</v>
      </c>
      <c r="L900" t="s">
        <v>4282</v>
      </c>
      <c r="M900" t="s">
        <v>4278</v>
      </c>
      <c r="N900" s="3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4283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 s="3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3073</v>
      </c>
      <c r="J902" t="s">
        <v>3974</v>
      </c>
      <c r="K902">
        <v>9</v>
      </c>
      <c r="L902" t="s">
        <v>4282</v>
      </c>
      <c r="M902" t="s">
        <v>4277</v>
      </c>
      <c r="N902" s="3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 s="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3070</v>
      </c>
      <c r="J904" t="s">
        <v>3976</v>
      </c>
      <c r="K904">
        <v>7</v>
      </c>
      <c r="L904" t="s">
        <v>4282</v>
      </c>
      <c r="M904" t="s">
        <v>4280</v>
      </c>
      <c r="N904" s="3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3066</v>
      </c>
      <c r="I905" t="s">
        <v>3073</v>
      </c>
      <c r="J905" t="s">
        <v>3977</v>
      </c>
      <c r="K905">
        <v>7</v>
      </c>
      <c r="L905" t="s">
        <v>4282</v>
      </c>
      <c r="M905" t="s">
        <v>4279</v>
      </c>
      <c r="N905" s="3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 s="3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 s="3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3068</v>
      </c>
      <c r="I908" t="s">
        <v>3071</v>
      </c>
      <c r="J908" t="s">
        <v>3980</v>
      </c>
      <c r="K908">
        <v>2</v>
      </c>
      <c r="L908" t="s">
        <v>4282</v>
      </c>
      <c r="M908" t="s">
        <v>4279</v>
      </c>
      <c r="N908" s="3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 s="3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 s="3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 s="3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 s="3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 s="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4283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 s="3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 s="3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 s="3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 s="3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3068</v>
      </c>
      <c r="I918" t="s">
        <v>3071</v>
      </c>
      <c r="J918" t="s">
        <v>3990</v>
      </c>
      <c r="K918">
        <v>6</v>
      </c>
      <c r="L918" t="s">
        <v>4282</v>
      </c>
      <c r="M918" t="s">
        <v>4278</v>
      </c>
      <c r="N918" s="3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 s="3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4283</v>
      </c>
      <c r="I920" t="s">
        <v>3072</v>
      </c>
      <c r="J920" t="s">
        <v>3992</v>
      </c>
      <c r="K920">
        <v>5</v>
      </c>
      <c r="L920" t="s">
        <v>4282</v>
      </c>
      <c r="M920" t="s">
        <v>4277</v>
      </c>
      <c r="N920" s="3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4283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 s="3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3066</v>
      </c>
      <c r="I922" t="s">
        <v>3071</v>
      </c>
      <c r="J922" t="s">
        <v>3994</v>
      </c>
      <c r="K922">
        <v>6</v>
      </c>
      <c r="L922" t="s">
        <v>4282</v>
      </c>
      <c r="M922" t="s">
        <v>4277</v>
      </c>
      <c r="N922" s="3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 s="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3066</v>
      </c>
      <c r="I924" t="s">
        <v>3073</v>
      </c>
      <c r="J924" t="s">
        <v>3996</v>
      </c>
      <c r="K924">
        <v>3</v>
      </c>
      <c r="L924" t="s">
        <v>4282</v>
      </c>
      <c r="M924" t="s">
        <v>4277</v>
      </c>
      <c r="N924" s="3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 s="3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 s="3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4283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 s="3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 s="3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 s="3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 s="3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3073</v>
      </c>
      <c r="J931" t="s">
        <v>4003</v>
      </c>
      <c r="K931">
        <v>3</v>
      </c>
      <c r="L931" t="s">
        <v>4282</v>
      </c>
      <c r="M931" t="s">
        <v>4279</v>
      </c>
      <c r="N931" s="3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 s="3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 s="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4283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 s="3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4283</v>
      </c>
      <c r="I935" t="s">
        <v>3069</v>
      </c>
      <c r="J935" t="s">
        <v>4007</v>
      </c>
      <c r="K935">
        <v>2</v>
      </c>
      <c r="L935" t="s">
        <v>4282</v>
      </c>
      <c r="M935" t="s">
        <v>4278</v>
      </c>
      <c r="N935" s="3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 s="3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 s="3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4283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 s="3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 s="3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 s="3">
        <v>994.38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 s="3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4283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 s="3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 s="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3066</v>
      </c>
      <c r="I944" t="s">
        <v>3073</v>
      </c>
      <c r="J944" t="s">
        <v>4016</v>
      </c>
      <c r="K944">
        <v>1</v>
      </c>
      <c r="L944" t="s">
        <v>4282</v>
      </c>
      <c r="M944" t="s">
        <v>4279</v>
      </c>
      <c r="N944" s="3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 s="3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4283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 s="3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 s="3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 s="3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4283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 s="3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3067</v>
      </c>
      <c r="I950" t="s">
        <v>3070</v>
      </c>
      <c r="J950" t="s">
        <v>4022</v>
      </c>
      <c r="K950">
        <v>2</v>
      </c>
      <c r="L950" t="s">
        <v>4282</v>
      </c>
      <c r="M950" t="s">
        <v>4281</v>
      </c>
      <c r="N950" s="3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3068</v>
      </c>
      <c r="I951" t="s">
        <v>3073</v>
      </c>
      <c r="J951" t="s">
        <v>4023</v>
      </c>
      <c r="K951">
        <v>10</v>
      </c>
      <c r="L951" t="s">
        <v>4282</v>
      </c>
      <c r="M951" t="s">
        <v>4278</v>
      </c>
      <c r="N951" s="3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 s="3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4283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 s="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4283</v>
      </c>
      <c r="I954" t="s">
        <v>3073</v>
      </c>
      <c r="J954" t="s">
        <v>4026</v>
      </c>
      <c r="K954">
        <v>5</v>
      </c>
      <c r="L954" t="s">
        <v>4282</v>
      </c>
      <c r="M954" t="s">
        <v>4280</v>
      </c>
      <c r="N954" s="3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 s="3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 s="3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 s="3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 s="3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 s="3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 s="3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 s="3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 s="3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4283</v>
      </c>
      <c r="I963" t="s">
        <v>3069</v>
      </c>
      <c r="J963" t="s">
        <v>4035</v>
      </c>
      <c r="K963">
        <v>1</v>
      </c>
      <c r="L963" t="s">
        <v>4282</v>
      </c>
      <c r="M963" t="s">
        <v>4280</v>
      </c>
      <c r="N963" s="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 s="3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4283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 s="3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 s="3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 s="3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 s="3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 s="3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 s="3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 s="3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 s="3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 s="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 s="3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4283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 s="3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3067</v>
      </c>
      <c r="I976" t="s">
        <v>3070</v>
      </c>
      <c r="J976" t="s">
        <v>4048</v>
      </c>
      <c r="K976">
        <v>5</v>
      </c>
      <c r="L976" t="s">
        <v>4282</v>
      </c>
      <c r="M976" t="s">
        <v>4279</v>
      </c>
      <c r="N976" s="3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 s="3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 s="3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 s="3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3068</v>
      </c>
      <c r="I980" t="s">
        <v>3072</v>
      </c>
      <c r="J980" t="s">
        <v>4052</v>
      </c>
      <c r="K980">
        <v>5</v>
      </c>
      <c r="L980" t="s">
        <v>4282</v>
      </c>
      <c r="M980" t="s">
        <v>4281</v>
      </c>
      <c r="N980" s="3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 s="3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 s="3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 s="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 s="3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 s="3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 s="3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 s="3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 s="3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 s="3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 s="3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 s="3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 s="3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 s="3">
        <v>635.9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 s="3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 s="3">
        <v>802.35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 s="3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 s="3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 s="3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 s="3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 s="3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 s="3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4283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 s="3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3067</v>
      </c>
      <c r="I1003" t="s">
        <v>3069</v>
      </c>
      <c r="J1003" t="s">
        <v>4075</v>
      </c>
      <c r="K1003">
        <v>6</v>
      </c>
      <c r="L1003" t="s">
        <v>4282</v>
      </c>
      <c r="M1003" t="s">
        <v>4278</v>
      </c>
      <c r="N1003" s="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 s="3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 s="3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4283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 s="3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3066</v>
      </c>
      <c r="I1007" t="s">
        <v>3071</v>
      </c>
      <c r="J1007" t="s">
        <v>4079</v>
      </c>
      <c r="K1007">
        <v>6</v>
      </c>
      <c r="L1007" t="s">
        <v>4282</v>
      </c>
      <c r="M1007" t="s">
        <v>4281</v>
      </c>
      <c r="N1007" s="3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 s="3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 s="3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 s="3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 s="3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 s="3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4283</v>
      </c>
      <c r="I1013" t="s">
        <v>3069</v>
      </c>
      <c r="J1013" t="s">
        <v>4085</v>
      </c>
      <c r="K1013">
        <v>3</v>
      </c>
      <c r="L1013" t="s">
        <v>4282</v>
      </c>
      <c r="M1013" t="s">
        <v>4281</v>
      </c>
      <c r="N1013" s="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4283</v>
      </c>
      <c r="I1014" t="s">
        <v>3071</v>
      </c>
      <c r="J1014" t="s">
        <v>4086</v>
      </c>
      <c r="K1014">
        <v>6</v>
      </c>
      <c r="L1014" t="s">
        <v>4282</v>
      </c>
      <c r="M1014" t="s">
        <v>4280</v>
      </c>
      <c r="N1014" s="3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 s="3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 s="3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4283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 s="3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 s="3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 s="3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3068</v>
      </c>
      <c r="I1020" t="s">
        <v>3072</v>
      </c>
      <c r="J1020" t="s">
        <v>4092</v>
      </c>
      <c r="K1020">
        <v>3</v>
      </c>
      <c r="L1020" t="s">
        <v>4282</v>
      </c>
      <c r="M1020" t="s">
        <v>4277</v>
      </c>
      <c r="N1020" s="3">
        <v>547.44000000000005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 s="3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4283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 s="3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 s="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 s="3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3068</v>
      </c>
      <c r="I1025" t="s">
        <v>3069</v>
      </c>
      <c r="J1025" t="s">
        <v>4097</v>
      </c>
      <c r="K1025">
        <v>10</v>
      </c>
      <c r="L1025" t="s">
        <v>4282</v>
      </c>
      <c r="M1025" t="s">
        <v>4278</v>
      </c>
      <c r="N1025" s="3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 s="3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 s="3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4283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 s="3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3068</v>
      </c>
      <c r="I1029" t="s">
        <v>3071</v>
      </c>
      <c r="J1029" t="s">
        <v>4101</v>
      </c>
      <c r="K1029">
        <v>6</v>
      </c>
      <c r="L1029" t="s">
        <v>4282</v>
      </c>
      <c r="M1029" t="s">
        <v>4281</v>
      </c>
      <c r="N1029" s="3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3068</v>
      </c>
      <c r="I1030" t="s">
        <v>3070</v>
      </c>
      <c r="J1030" t="s">
        <v>4102</v>
      </c>
      <c r="K1030">
        <v>6</v>
      </c>
      <c r="L1030" t="s">
        <v>4282</v>
      </c>
      <c r="M1030" t="s">
        <v>4277</v>
      </c>
      <c r="N1030" s="3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 s="3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 s="3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 s="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4283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 s="3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 s="3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 s="3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3068</v>
      </c>
      <c r="I1037" t="s">
        <v>3070</v>
      </c>
      <c r="J1037" t="s">
        <v>4109</v>
      </c>
      <c r="K1037">
        <v>5</v>
      </c>
      <c r="L1037" t="s">
        <v>4282</v>
      </c>
      <c r="M1037" t="s">
        <v>4278</v>
      </c>
      <c r="N1037" s="3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 s="3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 s="3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3071</v>
      </c>
      <c r="J1040" t="s">
        <v>4112</v>
      </c>
      <c r="K1040">
        <v>5</v>
      </c>
      <c r="L1040" t="s">
        <v>4282</v>
      </c>
      <c r="M1040" t="s">
        <v>4280</v>
      </c>
      <c r="N1040" s="3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 s="3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 s="3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 s="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 s="3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3067</v>
      </c>
      <c r="I1045" t="s">
        <v>3069</v>
      </c>
      <c r="J1045" t="s">
        <v>4117</v>
      </c>
      <c r="K1045">
        <v>5</v>
      </c>
      <c r="L1045" t="s">
        <v>4282</v>
      </c>
      <c r="M1045" t="s">
        <v>4277</v>
      </c>
      <c r="N1045" s="3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 s="3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3067</v>
      </c>
      <c r="I1047" t="s">
        <v>3071</v>
      </c>
      <c r="J1047" t="s">
        <v>4119</v>
      </c>
      <c r="K1047">
        <v>7</v>
      </c>
      <c r="L1047" t="s">
        <v>4282</v>
      </c>
      <c r="M1047" t="s">
        <v>4279</v>
      </c>
      <c r="N1047" s="3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4283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 s="3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 s="3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3069</v>
      </c>
      <c r="J1050" t="s">
        <v>4122</v>
      </c>
      <c r="K1050">
        <v>9</v>
      </c>
      <c r="L1050" t="s">
        <v>4282</v>
      </c>
      <c r="M1050" t="s">
        <v>4281</v>
      </c>
      <c r="N1050" s="3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3066</v>
      </c>
      <c r="I1051" t="s">
        <v>3069</v>
      </c>
      <c r="J1051" t="s">
        <v>4123</v>
      </c>
      <c r="K1051">
        <v>6</v>
      </c>
      <c r="L1051" t="s">
        <v>4282</v>
      </c>
      <c r="M1051" t="s">
        <v>4277</v>
      </c>
      <c r="N1051" s="3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4283</v>
      </c>
      <c r="I1052" t="s">
        <v>3071</v>
      </c>
      <c r="J1052" t="s">
        <v>4124</v>
      </c>
      <c r="K1052">
        <v>9</v>
      </c>
      <c r="L1052" t="s">
        <v>4282</v>
      </c>
      <c r="M1052" t="s">
        <v>4277</v>
      </c>
      <c r="N1052" s="3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 s="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4283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 s="3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4283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 s="3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 s="3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 s="3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4283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 s="3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 s="3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 s="3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 s="3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 s="3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 s="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3067</v>
      </c>
      <c r="I1064" t="s">
        <v>3070</v>
      </c>
      <c r="J1064" t="s">
        <v>4136</v>
      </c>
      <c r="K1064">
        <v>5</v>
      </c>
      <c r="L1064" t="s">
        <v>4282</v>
      </c>
      <c r="M1064" t="s">
        <v>4280</v>
      </c>
      <c r="N1064" s="3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 s="3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 s="3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 s="3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 s="3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4283</v>
      </c>
      <c r="I1069" t="s">
        <v>3071</v>
      </c>
      <c r="J1069" t="s">
        <v>4141</v>
      </c>
      <c r="K1069">
        <v>2</v>
      </c>
      <c r="L1069" t="s">
        <v>4282</v>
      </c>
      <c r="M1069" t="s">
        <v>4277</v>
      </c>
      <c r="N1069" s="3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 s="3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3067</v>
      </c>
      <c r="I1071" t="s">
        <v>3071</v>
      </c>
      <c r="J1071" t="s">
        <v>4143</v>
      </c>
      <c r="K1071">
        <v>3</v>
      </c>
      <c r="L1071" t="s">
        <v>4282</v>
      </c>
      <c r="M1071" t="s">
        <v>4280</v>
      </c>
      <c r="N1071" s="3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3073</v>
      </c>
      <c r="J1072" t="s">
        <v>4144</v>
      </c>
      <c r="K1072">
        <v>6</v>
      </c>
      <c r="L1072" t="s">
        <v>4282</v>
      </c>
      <c r="M1072" t="s">
        <v>4279</v>
      </c>
      <c r="N1072" s="3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3068</v>
      </c>
      <c r="I1073" t="s">
        <v>3069</v>
      </c>
      <c r="J1073" t="s">
        <v>4145</v>
      </c>
      <c r="K1073">
        <v>2</v>
      </c>
      <c r="L1073" t="s">
        <v>4282</v>
      </c>
      <c r="M1073" t="s">
        <v>4281</v>
      </c>
      <c r="N1073" s="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 s="3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3071</v>
      </c>
      <c r="J1075" t="s">
        <v>4147</v>
      </c>
      <c r="K1075">
        <v>4</v>
      </c>
      <c r="L1075" t="s">
        <v>4282</v>
      </c>
      <c r="M1075" t="s">
        <v>4280</v>
      </c>
      <c r="N1075" s="3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4283</v>
      </c>
      <c r="I1076" t="s">
        <v>3071</v>
      </c>
      <c r="J1076" t="s">
        <v>4148</v>
      </c>
      <c r="K1076">
        <v>4</v>
      </c>
      <c r="L1076" t="s">
        <v>4282</v>
      </c>
      <c r="M1076" t="s">
        <v>4281</v>
      </c>
      <c r="N1076" s="3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 s="3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3068</v>
      </c>
      <c r="I1078" t="s">
        <v>3069</v>
      </c>
      <c r="J1078" t="s">
        <v>4150</v>
      </c>
      <c r="K1078">
        <v>6</v>
      </c>
      <c r="L1078" t="s">
        <v>4282</v>
      </c>
      <c r="M1078" t="s">
        <v>4278</v>
      </c>
      <c r="N1078" s="3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 s="3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4283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 s="3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3067</v>
      </c>
      <c r="I1081" t="s">
        <v>3072</v>
      </c>
      <c r="J1081" t="s">
        <v>4153</v>
      </c>
      <c r="K1081">
        <v>8</v>
      </c>
      <c r="L1081" t="s">
        <v>4282</v>
      </c>
      <c r="M1081" t="s">
        <v>4279</v>
      </c>
      <c r="N1081" s="3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3067</v>
      </c>
      <c r="I1082" t="s">
        <v>3072</v>
      </c>
      <c r="J1082" t="s">
        <v>4154</v>
      </c>
      <c r="K1082">
        <v>7</v>
      </c>
      <c r="L1082" t="s">
        <v>4282</v>
      </c>
      <c r="M1082" t="s">
        <v>4278</v>
      </c>
      <c r="N1082" s="3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 s="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 s="3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 s="3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 s="3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 s="3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4283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 s="3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4283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 s="3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 s="3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3067</v>
      </c>
      <c r="I1091" t="s">
        <v>3069</v>
      </c>
      <c r="J1091" t="s">
        <v>4163</v>
      </c>
      <c r="K1091">
        <v>2</v>
      </c>
      <c r="L1091" t="s">
        <v>4282</v>
      </c>
      <c r="M1091" t="s">
        <v>4277</v>
      </c>
      <c r="N1091" s="3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3067</v>
      </c>
      <c r="I1092" t="s">
        <v>3071</v>
      </c>
      <c r="J1092" t="s">
        <v>4164</v>
      </c>
      <c r="K1092">
        <v>6</v>
      </c>
      <c r="L1092" t="s">
        <v>4282</v>
      </c>
      <c r="M1092" t="s">
        <v>4277</v>
      </c>
      <c r="N1092" s="3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3073</v>
      </c>
      <c r="J1093" t="s">
        <v>4165</v>
      </c>
      <c r="K1093">
        <v>4</v>
      </c>
      <c r="L1093" t="s">
        <v>4282</v>
      </c>
      <c r="M1093" t="s">
        <v>4279</v>
      </c>
      <c r="N1093" s="3">
        <v>628.44000000000005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 s="3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 s="3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 s="3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4283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 s="3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3071</v>
      </c>
      <c r="J1098" t="s">
        <v>4170</v>
      </c>
      <c r="K1098">
        <v>2</v>
      </c>
      <c r="L1098" t="s">
        <v>4282</v>
      </c>
      <c r="M1098" t="s">
        <v>4280</v>
      </c>
      <c r="N1098" s="3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 s="3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3066</v>
      </c>
      <c r="I1100" t="s">
        <v>3072</v>
      </c>
      <c r="J1100" t="s">
        <v>4172</v>
      </c>
      <c r="K1100">
        <v>7</v>
      </c>
      <c r="L1100" t="s">
        <v>4282</v>
      </c>
      <c r="M1100" t="s">
        <v>4279</v>
      </c>
      <c r="N1100" s="3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 s="3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 s="3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 s="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3069</v>
      </c>
      <c r="J1104" t="s">
        <v>4176</v>
      </c>
      <c r="K1104">
        <v>8</v>
      </c>
      <c r="L1104" t="s">
        <v>4282</v>
      </c>
      <c r="M1104" t="s">
        <v>4277</v>
      </c>
      <c r="N1104" s="3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4283</v>
      </c>
      <c r="I1105" t="s">
        <v>3072</v>
      </c>
      <c r="J1105" t="s">
        <v>4177</v>
      </c>
      <c r="K1105">
        <v>5</v>
      </c>
      <c r="L1105" t="s">
        <v>4282</v>
      </c>
      <c r="M1105" t="s">
        <v>4281</v>
      </c>
      <c r="N1105" s="3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4283</v>
      </c>
      <c r="I1106" t="s">
        <v>3069</v>
      </c>
      <c r="J1106" t="s">
        <v>4178</v>
      </c>
      <c r="K1106">
        <v>8</v>
      </c>
      <c r="L1106" t="s">
        <v>4282</v>
      </c>
      <c r="M1106" t="s">
        <v>4277</v>
      </c>
      <c r="N1106" s="3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 s="3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 s="3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4283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 s="3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4283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 s="3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 s="3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 s="3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4283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 s="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4283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 s="3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3068</v>
      </c>
      <c r="I1115" t="s">
        <v>3072</v>
      </c>
      <c r="J1115" t="s">
        <v>4187</v>
      </c>
      <c r="K1115">
        <v>8</v>
      </c>
      <c r="L1115" t="s">
        <v>4282</v>
      </c>
      <c r="M1115" t="s">
        <v>4281</v>
      </c>
      <c r="N1115" s="3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3067</v>
      </c>
      <c r="I1116" t="s">
        <v>3070</v>
      </c>
      <c r="J1116" t="s">
        <v>4188</v>
      </c>
      <c r="K1116">
        <v>3</v>
      </c>
      <c r="L1116" t="s">
        <v>4282</v>
      </c>
      <c r="M1116" t="s">
        <v>4281</v>
      </c>
      <c r="N1116" s="3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4283</v>
      </c>
      <c r="I1117" t="s">
        <v>3071</v>
      </c>
      <c r="J1117" t="s">
        <v>4189</v>
      </c>
      <c r="K1117">
        <v>3</v>
      </c>
      <c r="L1117" t="s">
        <v>4282</v>
      </c>
      <c r="M1117" t="s">
        <v>4281</v>
      </c>
      <c r="N1117" s="3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 s="3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 s="3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3066</v>
      </c>
      <c r="I1120" t="s">
        <v>3071</v>
      </c>
      <c r="J1120" t="s">
        <v>4192</v>
      </c>
      <c r="K1120">
        <v>4</v>
      </c>
      <c r="L1120" t="s">
        <v>4282</v>
      </c>
      <c r="M1120" t="s">
        <v>4279</v>
      </c>
      <c r="N1120" s="3">
        <v>754.44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 s="3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4283</v>
      </c>
      <c r="I1122" t="s">
        <v>3073</v>
      </c>
      <c r="J1122" t="s">
        <v>4194</v>
      </c>
      <c r="K1122">
        <v>3</v>
      </c>
      <c r="L1122" t="s">
        <v>4282</v>
      </c>
      <c r="M1122" t="s">
        <v>4280</v>
      </c>
      <c r="N1122" s="3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 s="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4283</v>
      </c>
      <c r="I1124" t="s">
        <v>3071</v>
      </c>
      <c r="J1124" t="s">
        <v>4196</v>
      </c>
      <c r="K1124">
        <v>8</v>
      </c>
      <c r="L1124" t="s">
        <v>4282</v>
      </c>
      <c r="M1124" t="s">
        <v>4280</v>
      </c>
      <c r="N1124" s="3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 s="3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3067</v>
      </c>
      <c r="I1126" t="s">
        <v>3071</v>
      </c>
      <c r="J1126" t="s">
        <v>4198</v>
      </c>
      <c r="K1126">
        <v>5</v>
      </c>
      <c r="L1126" t="s">
        <v>4282</v>
      </c>
      <c r="M1126" t="s">
        <v>4277</v>
      </c>
      <c r="N1126" s="3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 s="3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 s="3">
        <v>950.55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 s="3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 s="3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 s="3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 s="3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 s="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 s="3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 s="3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 s="3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4283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 s="3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 s="3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 s="3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3073</v>
      </c>
      <c r="J1140" t="s">
        <v>4212</v>
      </c>
      <c r="K1140">
        <v>4</v>
      </c>
      <c r="L1140" t="s">
        <v>4282</v>
      </c>
      <c r="M1140" t="s">
        <v>4277</v>
      </c>
      <c r="N1140" s="3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 s="3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3066</v>
      </c>
      <c r="I1142" t="s">
        <v>3070</v>
      </c>
      <c r="J1142" t="s">
        <v>4214</v>
      </c>
      <c r="K1142">
        <v>3</v>
      </c>
      <c r="L1142" t="s">
        <v>4282</v>
      </c>
      <c r="M1142" t="s">
        <v>4278</v>
      </c>
      <c r="N1142" s="3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3068</v>
      </c>
      <c r="I1143" t="s">
        <v>3070</v>
      </c>
      <c r="J1143" t="s">
        <v>4215</v>
      </c>
      <c r="K1143">
        <v>6</v>
      </c>
      <c r="L1143" t="s">
        <v>4282</v>
      </c>
      <c r="M1143" t="s">
        <v>4279</v>
      </c>
      <c r="N1143" s="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3071</v>
      </c>
      <c r="J1144" t="s">
        <v>4216</v>
      </c>
      <c r="K1144">
        <v>8</v>
      </c>
      <c r="L1144" t="s">
        <v>4282</v>
      </c>
      <c r="M1144" t="s">
        <v>4279</v>
      </c>
      <c r="N1144" s="3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3073</v>
      </c>
      <c r="J1145" t="s">
        <v>4217</v>
      </c>
      <c r="K1145">
        <v>5</v>
      </c>
      <c r="L1145" t="s">
        <v>4282</v>
      </c>
      <c r="M1145" t="s">
        <v>4279</v>
      </c>
      <c r="N1145" s="3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4283</v>
      </c>
      <c r="I1146" t="s">
        <v>3070</v>
      </c>
      <c r="J1146" t="s">
        <v>4218</v>
      </c>
      <c r="K1146">
        <v>9</v>
      </c>
      <c r="L1146" t="s">
        <v>4282</v>
      </c>
      <c r="M1146" t="s">
        <v>4280</v>
      </c>
      <c r="N1146" s="3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 s="3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 s="3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4283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 s="3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 s="3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 s="3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 s="3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3068</v>
      </c>
      <c r="I1153" t="s">
        <v>3070</v>
      </c>
      <c r="J1153" t="s">
        <v>4225</v>
      </c>
      <c r="K1153">
        <v>4</v>
      </c>
      <c r="L1153" t="s">
        <v>4282</v>
      </c>
      <c r="M1153" t="s">
        <v>4281</v>
      </c>
      <c r="N1153" s="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3066</v>
      </c>
      <c r="I1154" t="s">
        <v>3069</v>
      </c>
      <c r="J1154" t="s">
        <v>4226</v>
      </c>
      <c r="K1154">
        <v>7</v>
      </c>
      <c r="L1154" t="s">
        <v>4282</v>
      </c>
      <c r="M1154" t="s">
        <v>4278</v>
      </c>
      <c r="N1154" s="3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3069</v>
      </c>
      <c r="J1155" t="s">
        <v>4227</v>
      </c>
      <c r="K1155">
        <v>4</v>
      </c>
      <c r="L1155" t="s">
        <v>4282</v>
      </c>
      <c r="M1155" t="s">
        <v>4277</v>
      </c>
      <c r="N1155" s="3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 s="3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 s="3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3066</v>
      </c>
      <c r="I1158" t="s">
        <v>3069</v>
      </c>
      <c r="J1158" t="s">
        <v>4230</v>
      </c>
      <c r="K1158">
        <v>9</v>
      </c>
      <c r="L1158" t="s">
        <v>4282</v>
      </c>
      <c r="M1158" t="s">
        <v>4278</v>
      </c>
      <c r="N1158" s="3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 s="3">
        <v>904.65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 s="3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3071</v>
      </c>
      <c r="J1161" t="s">
        <v>4233</v>
      </c>
      <c r="K1161">
        <v>8</v>
      </c>
      <c r="L1161" t="s">
        <v>4282</v>
      </c>
      <c r="M1161" t="s">
        <v>4277</v>
      </c>
      <c r="N1161" s="3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 s="3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 s="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 s="3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 s="3">
        <v>918.87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 s="3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3073</v>
      </c>
      <c r="J1167" t="s">
        <v>4239</v>
      </c>
      <c r="K1167">
        <v>3</v>
      </c>
      <c r="L1167" t="s">
        <v>4282</v>
      </c>
      <c r="M1167" t="s">
        <v>4281</v>
      </c>
      <c r="N1167" s="3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 s="3">
        <v>973.41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 s="3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 s="3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 s="3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 s="3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 s="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3066</v>
      </c>
      <c r="I1174" t="s">
        <v>3073</v>
      </c>
      <c r="J1174" t="s">
        <v>4246</v>
      </c>
      <c r="K1174">
        <v>8</v>
      </c>
      <c r="L1174" t="s">
        <v>4282</v>
      </c>
      <c r="M1174" t="s">
        <v>4277</v>
      </c>
      <c r="N1174" s="3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4283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 s="3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 s="3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 s="3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 s="3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 s="3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 s="3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 s="3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 s="3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4283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 s="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 s="3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 s="3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3067</v>
      </c>
      <c r="I1186" t="s">
        <v>3071</v>
      </c>
      <c r="J1186" t="s">
        <v>4258</v>
      </c>
      <c r="K1186">
        <v>4</v>
      </c>
      <c r="L1186" t="s">
        <v>4282</v>
      </c>
      <c r="M1186" t="s">
        <v>4281</v>
      </c>
      <c r="N1186" s="3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 s="3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 s="3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 s="3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 s="3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3068</v>
      </c>
      <c r="I1191" t="s">
        <v>3070</v>
      </c>
      <c r="J1191" t="s">
        <v>4263</v>
      </c>
      <c r="K1191">
        <v>7</v>
      </c>
      <c r="L1191" t="s">
        <v>4282</v>
      </c>
      <c r="M1191" t="s">
        <v>4278</v>
      </c>
      <c r="N1191" s="3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 s="3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 s="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4283</v>
      </c>
      <c r="I1194" t="s">
        <v>3073</v>
      </c>
      <c r="J1194" t="s">
        <v>4266</v>
      </c>
      <c r="K1194">
        <v>4</v>
      </c>
      <c r="L1194" t="s">
        <v>4282</v>
      </c>
      <c r="M1194" t="s">
        <v>4277</v>
      </c>
      <c r="N1194" s="3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 s="3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 s="3">
        <v>568.32000000000005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 s="3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4283</v>
      </c>
      <c r="I1198" t="s">
        <v>3070</v>
      </c>
      <c r="J1198" t="s">
        <v>4270</v>
      </c>
      <c r="K1198">
        <v>5</v>
      </c>
      <c r="L1198" t="s">
        <v>4282</v>
      </c>
      <c r="M1198" t="s">
        <v>4280</v>
      </c>
      <c r="N1198" s="3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4283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 s="3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 s="3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 s="3">
        <v>2242.3200000000002</v>
      </c>
    </row>
  </sheetData>
  <conditionalFormatting sqref="N1176:P1201">
    <cfRule type="cellIs" dxfId="2" priority="2" operator="greaterThan">
      <formula>3330.41</formula>
    </cfRule>
  </conditionalFormatting>
  <conditionalFormatting sqref="N2:P1201">
    <cfRule type="cellIs" dxfId="0" priority="1" operator="greaterThan">
      <formula>3330.41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EDA Summary</vt:lpstr>
      <vt:lpstr>Revenue by Product</vt:lpstr>
      <vt:lpstr>Monthly Trends</vt:lpstr>
      <vt:lpstr>Order Status</vt:lpstr>
      <vt:lpstr>Referral Source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Chisom Onyekaba</cp:lastModifiedBy>
  <dcterms:created xsi:type="dcterms:W3CDTF">2025-06-21T13:19:12Z</dcterms:created>
  <dcterms:modified xsi:type="dcterms:W3CDTF">2026-05-31T17:30:29Z</dcterms:modified>
</cp:coreProperties>
</file>